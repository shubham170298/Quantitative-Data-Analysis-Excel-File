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Shubham\OneDrive\Desktop\"/>
    </mc:Choice>
  </mc:AlternateContent>
  <xr:revisionPtr revIDLastSave="0" documentId="13_ncr:1_{23CF1BC2-4F3A-4D20-A72B-83BD791324BD}" xr6:coauthVersionLast="47" xr6:coauthVersionMax="47" xr10:uidLastSave="{00000000-0000-0000-0000-000000000000}"/>
  <bookViews>
    <workbookView xWindow="-108" yWindow="-108" windowWidth="23256" windowHeight="12456" activeTab="5" xr2:uid="{71BC58DF-A60D-4A1A-AACC-0C6CF80ACCE1}"/>
  </bookViews>
  <sheets>
    <sheet name="Excel 1" sheetId="1" r:id="rId1"/>
    <sheet name="pivot" sheetId="5" r:id="rId2"/>
    <sheet name="Sample Data" sheetId="2" r:id="rId3"/>
    <sheet name="Products" sheetId="9" r:id="rId4"/>
    <sheet name="Header" sheetId="8" r:id="rId5"/>
    <sheet name="Sheet1" sheetId="10" r:id="rId6"/>
  </sheets>
  <definedNames>
    <definedName name="_xlnm._FilterDatabase" localSheetId="0" hidden="1">'Excel 1'!$A$54:$P$70</definedName>
    <definedName name="ExternalData_1" localSheetId="4" hidden="1">Header!$A$1:$H$398</definedName>
    <definedName name="ExternalData_2" localSheetId="3" hidden="1">Products!$A$1:$H$398</definedName>
    <definedName name="NativeTimeline_OrderDate">#N/A</definedName>
    <definedName name="Slicer_Employee_name">#N/A</definedName>
    <definedName name="Slicer_Region">#N/A</definedName>
    <definedName name="Slicer_Rep">#N/A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5" i="1" l="1"/>
  <c r="E35" i="1"/>
  <c r="F35" i="1"/>
  <c r="G35" i="1"/>
  <c r="H35" i="1" s="1"/>
  <c r="D36" i="1"/>
  <c r="E36" i="1"/>
  <c r="F36" i="1"/>
  <c r="G36" i="1"/>
  <c r="H36" i="1" s="1"/>
  <c r="D37" i="1"/>
  <c r="E37" i="1"/>
  <c r="F37" i="1"/>
  <c r="D38" i="1"/>
  <c r="E38" i="1"/>
  <c r="F38" i="1"/>
  <c r="G38" i="1"/>
  <c r="H38" i="1" s="1"/>
  <c r="D39" i="1"/>
  <c r="E39" i="1"/>
  <c r="F39" i="1"/>
  <c r="G39" i="1"/>
  <c r="H39" i="1" s="1"/>
  <c r="D40" i="1"/>
  <c r="G40" i="1" s="1"/>
  <c r="H40" i="1" s="1"/>
  <c r="E40" i="1"/>
  <c r="F40" i="1"/>
  <c r="D41" i="1"/>
  <c r="G41" i="1" s="1"/>
  <c r="H41" i="1" s="1"/>
  <c r="E41" i="1"/>
  <c r="F41" i="1"/>
  <c r="D42" i="1"/>
  <c r="E42" i="1"/>
  <c r="F42" i="1"/>
  <c r="D43" i="1"/>
  <c r="E43" i="1"/>
  <c r="F43" i="1"/>
  <c r="G43" i="1"/>
  <c r="H43" i="1" s="1"/>
  <c r="D44" i="1"/>
  <c r="E44" i="1"/>
  <c r="F44" i="1"/>
  <c r="D45" i="1"/>
  <c r="G45" i="1" s="1"/>
  <c r="H45" i="1" s="1"/>
  <c r="E45" i="1"/>
  <c r="F45" i="1"/>
  <c r="D46" i="1"/>
  <c r="E46" i="1"/>
  <c r="F46" i="1"/>
  <c r="G46" i="1"/>
  <c r="H46" i="1" s="1"/>
  <c r="D47" i="1"/>
  <c r="G47" i="1" s="1"/>
  <c r="H47" i="1" s="1"/>
  <c r="E47" i="1"/>
  <c r="F47" i="1"/>
  <c r="D48" i="1"/>
  <c r="G48" i="1" s="1"/>
  <c r="H48" i="1" s="1"/>
  <c r="E48" i="1"/>
  <c r="F48" i="1"/>
  <c r="D49" i="1"/>
  <c r="E49" i="1"/>
  <c r="F49" i="1"/>
  <c r="D50" i="1"/>
  <c r="E50" i="1"/>
  <c r="F50" i="1"/>
  <c r="G50" i="1"/>
  <c r="H50" i="1" s="1"/>
  <c r="D51" i="1"/>
  <c r="E51" i="1"/>
  <c r="F51" i="1"/>
  <c r="G51" i="1"/>
  <c r="H51" i="1" s="1"/>
  <c r="D52" i="1"/>
  <c r="G52" i="1" s="1"/>
  <c r="H52" i="1" s="1"/>
  <c r="E52" i="1"/>
  <c r="F52" i="1"/>
  <c r="M2" i="2"/>
  <c r="P2" i="2"/>
  <c r="J2" i="2"/>
  <c r="N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2" i="2"/>
  <c r="U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2" i="2"/>
  <c r="J17" i="1"/>
  <c r="J18" i="1"/>
  <c r="J19" i="1"/>
  <c r="J20" i="1"/>
  <c r="J21" i="1"/>
  <c r="J22" i="1"/>
  <c r="J23" i="1"/>
  <c r="J24" i="1"/>
  <c r="J25" i="1"/>
  <c r="J26" i="1"/>
  <c r="J27" i="1"/>
  <c r="J16" i="1"/>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F77" i="1"/>
  <c r="F78" i="1"/>
  <c r="F79" i="1"/>
  <c r="F80" i="1"/>
  <c r="F81" i="1"/>
  <c r="F82" i="1"/>
  <c r="F83" i="1"/>
  <c r="F84" i="1"/>
  <c r="F85" i="1"/>
  <c r="F86" i="1"/>
  <c r="F87" i="1"/>
  <c r="F88" i="1"/>
  <c r="F89" i="1"/>
  <c r="F90" i="1"/>
  <c r="F91" i="1"/>
  <c r="F92" i="1"/>
  <c r="F93" i="1"/>
  <c r="F76" i="1"/>
  <c r="E77" i="1"/>
  <c r="E78" i="1"/>
  <c r="E79" i="1"/>
  <c r="E80" i="1"/>
  <c r="E81" i="1"/>
  <c r="E82" i="1"/>
  <c r="E83" i="1"/>
  <c r="E84" i="1"/>
  <c r="E85" i="1"/>
  <c r="E86" i="1"/>
  <c r="E87" i="1"/>
  <c r="E88" i="1"/>
  <c r="E89" i="1"/>
  <c r="E90" i="1"/>
  <c r="E91" i="1"/>
  <c r="E92" i="1"/>
  <c r="E93" i="1"/>
  <c r="E76" i="1"/>
  <c r="D79" i="1"/>
  <c r="D80" i="1"/>
  <c r="D81" i="1"/>
  <c r="D82" i="1"/>
  <c r="D83" i="1"/>
  <c r="D84" i="1"/>
  <c r="D85" i="1"/>
  <c r="D86" i="1"/>
  <c r="D87" i="1"/>
  <c r="D88" i="1"/>
  <c r="D89" i="1"/>
  <c r="D90" i="1"/>
  <c r="D91" i="1"/>
  <c r="D92" i="1"/>
  <c r="D93" i="1"/>
  <c r="D77" i="1"/>
  <c r="D78" i="1"/>
  <c r="D76" i="1"/>
  <c r="P57" i="1"/>
  <c r="P58" i="1"/>
  <c r="P59" i="1"/>
  <c r="P60" i="1"/>
  <c r="P61" i="1"/>
  <c r="P62" i="1"/>
  <c r="P63" i="1"/>
  <c r="P64" i="1"/>
  <c r="P65" i="1"/>
  <c r="P66" i="1"/>
  <c r="P67" i="1"/>
  <c r="P68" i="1"/>
  <c r="P69" i="1"/>
  <c r="P70" i="1"/>
  <c r="P56" i="1"/>
  <c r="O57" i="1"/>
  <c r="O58" i="1"/>
  <c r="O59" i="1"/>
  <c r="O60" i="1"/>
  <c r="O61" i="1"/>
  <c r="O62" i="1"/>
  <c r="O63" i="1"/>
  <c r="O64" i="1"/>
  <c r="O65" i="1"/>
  <c r="O66" i="1"/>
  <c r="O67" i="1"/>
  <c r="O68" i="1"/>
  <c r="O69" i="1"/>
  <c r="O70" i="1"/>
  <c r="O56" i="1"/>
  <c r="N57" i="1"/>
  <c r="N58" i="1"/>
  <c r="N59" i="1"/>
  <c r="N60" i="1"/>
  <c r="N61" i="1"/>
  <c r="N62" i="1"/>
  <c r="N63" i="1"/>
  <c r="N64" i="1"/>
  <c r="N65" i="1"/>
  <c r="N66" i="1"/>
  <c r="N67" i="1"/>
  <c r="N68" i="1"/>
  <c r="N69" i="1"/>
  <c r="N70" i="1"/>
  <c r="N56" i="1"/>
  <c r="N16" i="1"/>
  <c r="I64" i="1"/>
  <c r="K64" i="1" s="1"/>
  <c r="M64" i="1" s="1"/>
  <c r="I57" i="1"/>
  <c r="K57" i="1" s="1"/>
  <c r="M57" i="1" s="1"/>
  <c r="I58" i="1"/>
  <c r="K58" i="1" s="1"/>
  <c r="M58" i="1" s="1"/>
  <c r="I59" i="1"/>
  <c r="L59" i="1" s="1"/>
  <c r="I60" i="1"/>
  <c r="K60" i="1" s="1"/>
  <c r="M60" i="1" s="1"/>
  <c r="I61" i="1"/>
  <c r="K61" i="1" s="1"/>
  <c r="M61" i="1" s="1"/>
  <c r="I62" i="1"/>
  <c r="K62" i="1" s="1"/>
  <c r="M62" i="1" s="1"/>
  <c r="I63" i="1"/>
  <c r="K63" i="1" s="1"/>
  <c r="M63" i="1" s="1"/>
  <c r="I65" i="1"/>
  <c r="L65" i="1" s="1"/>
  <c r="I66" i="1"/>
  <c r="L66" i="1" s="1"/>
  <c r="I67" i="1"/>
  <c r="L67" i="1" s="1"/>
  <c r="I68" i="1"/>
  <c r="L68" i="1" s="1"/>
  <c r="I69" i="1"/>
  <c r="L69" i="1" s="1"/>
  <c r="I70" i="1"/>
  <c r="K70" i="1" s="1"/>
  <c r="M70" i="1" s="1"/>
  <c r="I56" i="1"/>
  <c r="L56" i="1" s="1"/>
  <c r="I16" i="1"/>
  <c r="K16" i="1" s="1"/>
  <c r="M16" i="1" s="1"/>
  <c r="N21" i="1"/>
  <c r="O16" i="1"/>
  <c r="L17" i="1"/>
  <c r="N17" i="1"/>
  <c r="O17" i="1"/>
  <c r="P17" i="1"/>
  <c r="L18" i="1"/>
  <c r="N18" i="1"/>
  <c r="O18" i="1"/>
  <c r="P18" i="1"/>
  <c r="L19" i="1"/>
  <c r="N19" i="1"/>
  <c r="O19" i="1"/>
  <c r="P19" i="1"/>
  <c r="L20" i="1"/>
  <c r="N20" i="1"/>
  <c r="O20" i="1"/>
  <c r="P20" i="1"/>
  <c r="L21" i="1"/>
  <c r="O21" i="1"/>
  <c r="P21" i="1"/>
  <c r="L22" i="1"/>
  <c r="N22" i="1"/>
  <c r="O22" i="1"/>
  <c r="P22" i="1"/>
  <c r="L23" i="1"/>
  <c r="N23" i="1"/>
  <c r="O23" i="1"/>
  <c r="P23" i="1"/>
  <c r="L24" i="1"/>
  <c r="N24" i="1"/>
  <c r="O24" i="1"/>
  <c r="P24" i="1"/>
  <c r="L25" i="1"/>
  <c r="N25" i="1"/>
  <c r="O25" i="1"/>
  <c r="P25" i="1"/>
  <c r="L26" i="1"/>
  <c r="N26" i="1"/>
  <c r="O26" i="1"/>
  <c r="P26" i="1"/>
  <c r="L27" i="1"/>
  <c r="N27" i="1"/>
  <c r="O27" i="1"/>
  <c r="P27" i="1"/>
  <c r="P16" i="1"/>
  <c r="L16" i="1"/>
  <c r="I17" i="1"/>
  <c r="K17" i="1" s="1"/>
  <c r="M17" i="1" s="1"/>
  <c r="I18" i="1"/>
  <c r="K18" i="1" s="1"/>
  <c r="M18" i="1" s="1"/>
  <c r="I19" i="1"/>
  <c r="K19" i="1" s="1"/>
  <c r="M19" i="1" s="1"/>
  <c r="I20" i="1"/>
  <c r="K20" i="1" s="1"/>
  <c r="M20" i="1" s="1"/>
  <c r="I21" i="1"/>
  <c r="K21" i="1" s="1"/>
  <c r="M21" i="1" s="1"/>
  <c r="I22" i="1"/>
  <c r="K22" i="1" s="1"/>
  <c r="M22" i="1" s="1"/>
  <c r="I23" i="1"/>
  <c r="K23" i="1" s="1"/>
  <c r="M23" i="1" s="1"/>
  <c r="I24" i="1"/>
  <c r="K24" i="1" s="1"/>
  <c r="M24" i="1" s="1"/>
  <c r="I25" i="1"/>
  <c r="K25" i="1" s="1"/>
  <c r="M25" i="1" s="1"/>
  <c r="I26" i="1"/>
  <c r="K26" i="1" s="1"/>
  <c r="M26" i="1" s="1"/>
  <c r="I27" i="1"/>
  <c r="K27" i="1" s="1"/>
  <c r="M27" i="1" s="1"/>
  <c r="G37" i="1" l="1"/>
  <c r="H37" i="1" s="1"/>
  <c r="I35" i="1"/>
  <c r="K35" i="1" s="1"/>
  <c r="L35" i="1" s="1"/>
  <c r="J35" i="1" s="1"/>
  <c r="G42" i="1"/>
  <c r="H42" i="1" s="1"/>
  <c r="G44" i="1"/>
  <c r="H44" i="1" s="1"/>
  <c r="G49" i="1"/>
  <c r="H49" i="1" s="1"/>
  <c r="J63" i="1"/>
  <c r="J62" i="1"/>
  <c r="J61" i="1"/>
  <c r="J60" i="1"/>
  <c r="J59" i="1"/>
  <c r="J70" i="1"/>
  <c r="J58" i="1"/>
  <c r="J57" i="1"/>
  <c r="J68" i="1"/>
  <c r="J67" i="1"/>
  <c r="J56" i="1"/>
  <c r="J69" i="1"/>
  <c r="J66" i="1"/>
  <c r="J65" i="1"/>
  <c r="J64" i="1"/>
  <c r="B48" i="2" a="1"/>
  <c r="B48" i="2" s="1"/>
  <c r="R2" i="2"/>
  <c r="S2" i="2"/>
  <c r="Q2" i="2"/>
  <c r="L61" i="1"/>
  <c r="G92" i="1"/>
  <c r="H92" i="1" s="1"/>
  <c r="G80" i="1"/>
  <c r="H80" i="1" s="1"/>
  <c r="L60" i="1"/>
  <c r="G91" i="1"/>
  <c r="I91" i="1" s="1"/>
  <c r="G79" i="1"/>
  <c r="I79" i="1" s="1"/>
  <c r="G86" i="1"/>
  <c r="H86" i="1" s="1"/>
  <c r="G77" i="1"/>
  <c r="I77" i="1" s="1"/>
  <c r="G76" i="1"/>
  <c r="I76" i="1" s="1"/>
  <c r="G88" i="1"/>
  <c r="I88" i="1" s="1"/>
  <c r="G83" i="1"/>
  <c r="H83" i="1" s="1"/>
  <c r="G87" i="1"/>
  <c r="I87" i="1" s="1"/>
  <c r="G90" i="1"/>
  <c r="I90" i="1" s="1"/>
  <c r="G82" i="1"/>
  <c r="H82" i="1" s="1"/>
  <c r="G78" i="1"/>
  <c r="I78" i="1" s="1"/>
  <c r="G85" i="1"/>
  <c r="H85" i="1" s="1"/>
  <c r="G89" i="1"/>
  <c r="H89" i="1" s="1"/>
  <c r="G84" i="1"/>
  <c r="I84" i="1" s="1"/>
  <c r="L62" i="1"/>
  <c r="G93" i="1"/>
  <c r="I93" i="1" s="1"/>
  <c r="G81" i="1"/>
  <c r="H81" i="1" s="1"/>
  <c r="H84" i="1"/>
  <c r="L63" i="1"/>
  <c r="K56" i="1"/>
  <c r="M56" i="1" s="1"/>
  <c r="K59" i="1"/>
  <c r="M59" i="1" s="1"/>
  <c r="L58" i="1"/>
  <c r="L57" i="1"/>
  <c r="K67" i="1"/>
  <c r="M67" i="1" s="1"/>
  <c r="K66" i="1"/>
  <c r="M66" i="1" s="1"/>
  <c r="K65" i="1"/>
  <c r="M65" i="1" s="1"/>
  <c r="K69" i="1"/>
  <c r="M69" i="1" s="1"/>
  <c r="K68" i="1"/>
  <c r="M68" i="1" s="1"/>
  <c r="L70" i="1"/>
  <c r="L64" i="1"/>
  <c r="I48" i="1"/>
  <c r="I40" i="1"/>
  <c r="I41" i="1"/>
  <c r="I52" i="1"/>
  <c r="I50" i="1"/>
  <c r="I49" i="1"/>
  <c r="I37" i="1"/>
  <c r="I43" i="1"/>
  <c r="I45" i="1"/>
  <c r="I51" i="1"/>
  <c r="I46" i="1"/>
  <c r="I42" i="1" l="1"/>
  <c r="I92" i="1"/>
  <c r="J92" i="1" s="1"/>
  <c r="I80" i="1"/>
  <c r="J80" i="1" s="1"/>
  <c r="K80" i="1" s="1"/>
  <c r="L80" i="1" s="1"/>
  <c r="H91" i="1"/>
  <c r="J91" i="1" s="1"/>
  <c r="K91" i="1" s="1"/>
  <c r="L91" i="1" s="1"/>
  <c r="I83" i="1"/>
  <c r="J83" i="1" s="1"/>
  <c r="K83" i="1" s="1"/>
  <c r="L83" i="1" s="1"/>
  <c r="I81" i="1"/>
  <c r="J81" i="1" s="1"/>
  <c r="H78" i="1"/>
  <c r="J78" i="1" s="1"/>
  <c r="K78" i="1" s="1"/>
  <c r="L78" i="1" s="1"/>
  <c r="H88" i="1"/>
  <c r="H76" i="1"/>
  <c r="J76" i="1" s="1"/>
  <c r="K76" i="1" s="1"/>
  <c r="L76" i="1" s="1"/>
  <c r="H79" i="1"/>
  <c r="J79" i="1" s="1"/>
  <c r="K79" i="1" s="1"/>
  <c r="L79" i="1" s="1"/>
  <c r="I85" i="1"/>
  <c r="J85" i="1" s="1"/>
  <c r="K85" i="1" s="1"/>
  <c r="L85" i="1" s="1"/>
  <c r="H77" i="1"/>
  <c r="J77" i="1" s="1"/>
  <c r="K77" i="1" s="1"/>
  <c r="L77" i="1" s="1"/>
  <c r="I89" i="1"/>
  <c r="J89" i="1" s="1"/>
  <c r="H93" i="1"/>
  <c r="J93" i="1" s="1"/>
  <c r="I82" i="1"/>
  <c r="J82" i="1" s="1"/>
  <c r="K82" i="1" s="1"/>
  <c r="L82" i="1" s="1"/>
  <c r="I86" i="1"/>
  <c r="J86" i="1" s="1"/>
  <c r="J84" i="1"/>
  <c r="K84" i="1" s="1"/>
  <c r="L84" i="1" s="1"/>
  <c r="H90" i="1"/>
  <c r="J90" i="1" s="1"/>
  <c r="H87" i="1"/>
  <c r="J87" i="1" s="1"/>
  <c r="I39" i="1"/>
  <c r="J88" i="1"/>
  <c r="K88" i="1" s="1"/>
  <c r="L88" i="1" s="1"/>
  <c r="I47" i="1"/>
  <c r="I44" i="1"/>
  <c r="I38" i="1"/>
  <c r="I36" i="1"/>
  <c r="K89" i="1" l="1"/>
  <c r="L89" i="1" s="1"/>
  <c r="K87" i="1"/>
  <c r="L87" i="1" s="1"/>
  <c r="K92" i="1"/>
  <c r="L92" i="1" s="1"/>
  <c r="K90" i="1"/>
  <c r="L90" i="1" s="1"/>
  <c r="K81" i="1"/>
  <c r="L81" i="1" s="1"/>
  <c r="K86" i="1"/>
  <c r="L86" i="1" s="1"/>
  <c r="K93" i="1"/>
  <c r="L93" i="1" s="1"/>
  <c r="K38" i="1"/>
  <c r="L38" i="1" s="1"/>
  <c r="J38" i="1" s="1"/>
  <c r="K48" i="1"/>
  <c r="L48" i="1" s="1"/>
  <c r="J48" i="1" s="1"/>
  <c r="K45" i="1"/>
  <c r="L45" i="1" s="1"/>
  <c r="J45" i="1" s="1"/>
  <c r="K50" i="1"/>
  <c r="L50" i="1" s="1"/>
  <c r="J50" i="1" s="1"/>
  <c r="K51" i="1"/>
  <c r="L51" i="1" s="1"/>
  <c r="J51" i="1" s="1"/>
  <c r="K49" i="1"/>
  <c r="L49" i="1" s="1"/>
  <c r="J49" i="1" s="1"/>
  <c r="K43" i="1"/>
  <c r="L43" i="1" s="1"/>
  <c r="J43" i="1" s="1"/>
  <c r="K42" i="1"/>
  <c r="L42" i="1" s="1"/>
  <c r="J42" i="1" s="1"/>
  <c r="K46" i="1"/>
  <c r="L46" i="1" s="1"/>
  <c r="J46" i="1" s="1"/>
  <c r="K40" i="1"/>
  <c r="L40" i="1" s="1"/>
  <c r="J40" i="1" s="1"/>
  <c r="K44" i="1"/>
  <c r="L44" i="1" s="1"/>
  <c r="J44" i="1" s="1"/>
  <c r="K37" i="1"/>
  <c r="L37" i="1" s="1"/>
  <c r="J37" i="1" s="1"/>
  <c r="K47" i="1"/>
  <c r="L47" i="1" s="1"/>
  <c r="J47" i="1" s="1"/>
  <c r="K41" i="1"/>
  <c r="L41" i="1" s="1"/>
  <c r="J41" i="1" s="1"/>
  <c r="K36" i="1"/>
  <c r="L36" i="1" s="1"/>
  <c r="J36" i="1" s="1"/>
  <c r="K52" i="1"/>
  <c r="L52" i="1" s="1"/>
  <c r="J52" i="1" s="1"/>
  <c r="K39" i="1"/>
  <c r="L39" i="1" s="1"/>
  <c r="J3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0F3BC6-D57A-479D-9260-9E837CC9CE41}"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F97420D3-1027-4509-A8A7-5EE1A05BA978}" keepAlive="1" name="Query - Header" description="Connection to the 'Header' query in the workbook." type="5" refreshedVersion="8" background="1" saveData="1">
    <dbPr connection="Provider=Microsoft.Mashup.OleDb.1;Data Source=$Workbook$;Location=Header;Extended Properties=&quot;&quot;" command="SELECT * FROM [Header]"/>
  </connection>
  <connection id="3" xr16:uid="{EAF65B42-623A-48DC-8807-F6E68D2E0A21}"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C33945D0-92B9-4A44-8984-ED4A9B05E87A}"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5" xr16:uid="{88B7B34B-555E-4652-8CC2-86E560A555E5}" keepAlive="1" name="Query - Sales Data Text" description="Connection to the 'Sales Data Text' query in the workbook." type="5" refreshedVersion="8" background="1" saveData="1">
    <dbPr connection="Provider=Microsoft.Mashup.OleDb.1;Data Source=$Workbook$;Location=&quot;Sales Data Text&quot;;Extended Properties=&quot;&quot;" command="SELECT * FROM [Sales Data Tex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<sst xmlns="http://schemas.openxmlformats.org/spreadsheetml/2006/main" count="4386" uniqueCount="531">
  <si>
    <t>Name</t>
  </si>
  <si>
    <t>Total</t>
  </si>
  <si>
    <t>Hindi</t>
  </si>
  <si>
    <t>English</t>
  </si>
  <si>
    <t>Physics</t>
  </si>
  <si>
    <t>Chemistry</t>
  </si>
  <si>
    <t>Somdev Yadav</t>
  </si>
  <si>
    <t>Utkarsh Nishad</t>
  </si>
  <si>
    <t>Shubham Srivastav</t>
  </si>
  <si>
    <t>Ram Singh</t>
  </si>
  <si>
    <t>Sanjay Kumar</t>
  </si>
  <si>
    <t>Vijay Ram Bhatt</t>
  </si>
  <si>
    <t>Kulwant Singh</t>
  </si>
  <si>
    <t>prakash kumar</t>
  </si>
  <si>
    <t>Roll No</t>
  </si>
  <si>
    <t>Subjects</t>
  </si>
  <si>
    <t>Mathematics</t>
  </si>
  <si>
    <t>%</t>
  </si>
  <si>
    <t>Avg</t>
  </si>
  <si>
    <t>Count</t>
  </si>
  <si>
    <t>Max</t>
  </si>
  <si>
    <t>Min</t>
  </si>
  <si>
    <t>Grades</t>
  </si>
  <si>
    <t>Employee name</t>
  </si>
  <si>
    <t>DA 14%</t>
  </si>
  <si>
    <t>HRA 7%</t>
  </si>
  <si>
    <t>Gross Income</t>
  </si>
  <si>
    <t>P F Deduction 12%</t>
  </si>
  <si>
    <t>Professional Tax 2%</t>
  </si>
  <si>
    <t>Base Salary</t>
  </si>
  <si>
    <t>Ajay Kumar</t>
  </si>
  <si>
    <t>Ravindra</t>
  </si>
  <si>
    <t>Gross Deduction</t>
  </si>
  <si>
    <t>Salary Take Home</t>
  </si>
  <si>
    <t>Kamal Kumar</t>
  </si>
  <si>
    <t>Prakhar</t>
  </si>
  <si>
    <t xml:space="preserve">Dipanshu </t>
  </si>
  <si>
    <t>TA3%</t>
  </si>
  <si>
    <t>Employee ID</t>
  </si>
  <si>
    <t>Percentage</t>
  </si>
  <si>
    <t>Average</t>
  </si>
  <si>
    <t>Sanjay Singhania</t>
  </si>
  <si>
    <t>Amar Nath</t>
  </si>
  <si>
    <t>Hari nath</t>
  </si>
  <si>
    <t>Krishna kumar</t>
  </si>
  <si>
    <t>Sanyam Pokhriyal</t>
  </si>
  <si>
    <t>Kapil Singh</t>
  </si>
  <si>
    <t>Satish Arora</t>
  </si>
  <si>
    <t>Ramesh Arora</t>
  </si>
  <si>
    <t>Digpal Rathore</t>
  </si>
  <si>
    <t>Vidhan Singh</t>
  </si>
  <si>
    <t>Employee Name</t>
  </si>
  <si>
    <t>TA 3%</t>
  </si>
  <si>
    <t>P F Deduction 12 %</t>
  </si>
  <si>
    <t>Gross Deductions</t>
  </si>
  <si>
    <t>Prakash kumar</t>
  </si>
  <si>
    <t>Rajeev kumar</t>
  </si>
  <si>
    <t>Sanyam pokhriyal</t>
  </si>
  <si>
    <t>Laxman Bhatt</t>
  </si>
  <si>
    <t>Shyam Kumar</t>
  </si>
  <si>
    <t>OrderDate</t>
  </si>
  <si>
    <t>Region</t>
  </si>
  <si>
    <t>Item</t>
  </si>
  <si>
    <t>Units</t>
  </si>
  <si>
    <t>Unit Cost</t>
  </si>
  <si>
    <t>Central</t>
  </si>
  <si>
    <t>Smith</t>
  </si>
  <si>
    <t>Desk</t>
  </si>
  <si>
    <t>Kivell</t>
  </si>
  <si>
    <t>Gill</t>
  </si>
  <si>
    <t>Pencil</t>
  </si>
  <si>
    <t>Jardine</t>
  </si>
  <si>
    <t>Binder</t>
  </si>
  <si>
    <t>Andrews</t>
  </si>
  <si>
    <t>Pen</t>
  </si>
  <si>
    <t>Morgan</t>
  </si>
  <si>
    <t>Pen Set</t>
  </si>
  <si>
    <t>East</t>
  </si>
  <si>
    <t>Jones</t>
  </si>
  <si>
    <t>Parent</t>
  </si>
  <si>
    <t>Howard</t>
  </si>
  <si>
    <t>West</t>
  </si>
  <si>
    <t>Sorvino</t>
  </si>
  <si>
    <t>Thompson</t>
  </si>
  <si>
    <t>Row Labels</t>
  </si>
  <si>
    <t>Grand Total</t>
  </si>
  <si>
    <t>(All)</t>
  </si>
  <si>
    <t>Column Labels</t>
  </si>
  <si>
    <t>Sum of Total</t>
  </si>
  <si>
    <t>Criteria</t>
  </si>
  <si>
    <t xml:space="preserve"> Criteria</t>
  </si>
  <si>
    <t>Representative</t>
  </si>
  <si>
    <t>VlookUp</t>
  </si>
  <si>
    <t>Represe1</t>
  </si>
  <si>
    <t>item1</t>
  </si>
  <si>
    <t>Index Formula</t>
  </si>
  <si>
    <t>Countifs</t>
  </si>
  <si>
    <t xml:space="preserve">      Total</t>
  </si>
  <si>
    <t>Unit Costs</t>
  </si>
  <si>
    <t>Jones 7</t>
  </si>
  <si>
    <t>VlookupRegion</t>
  </si>
  <si>
    <t>Xlookup</t>
  </si>
  <si>
    <t>ProductKey</t>
  </si>
  <si>
    <t>ProductName</t>
  </si>
  <si>
    <t>Color</t>
  </si>
  <si>
    <t>CategoryName</t>
  </si>
  <si>
    <t>SubcategoryName</t>
  </si>
  <si>
    <t>List Price</t>
  </si>
  <si>
    <t>Model</t>
  </si>
  <si>
    <t>Standard Cost</t>
  </si>
  <si>
    <t>Road-750 Black, 52</t>
  </si>
  <si>
    <t>Black</t>
  </si>
  <si>
    <t>Bikes</t>
  </si>
  <si>
    <t>Road Bikes</t>
  </si>
  <si>
    <t>HL Road Frame</t>
  </si>
  <si>
    <t>Road-750 Black, 48</t>
  </si>
  <si>
    <t>Road-750 Black, 44</t>
  </si>
  <si>
    <t>Sport-100</t>
  </si>
  <si>
    <t>HL Bottom Bracket</t>
  </si>
  <si>
    <t>NA</t>
  </si>
  <si>
    <t>Components</t>
  </si>
  <si>
    <t>Bottom Brackets</t>
  </si>
  <si>
    <t>ML Bottom Bracket</t>
  </si>
  <si>
    <t>LL Bottom Bracket</t>
  </si>
  <si>
    <t>Mountain-500 Black, 52</t>
  </si>
  <si>
    <t>Mountain Bikes</t>
  </si>
  <si>
    <t>Mountain-500 Black, 48</t>
  </si>
  <si>
    <t>Mountain-500 Black, 44</t>
  </si>
  <si>
    <t>Mountain Bike Socks</t>
  </si>
  <si>
    <t>Mountain-500 Black, 42</t>
  </si>
  <si>
    <t>Mountain-500 Black, 40</t>
  </si>
  <si>
    <t>Mountain-500 Silver, 52</t>
  </si>
  <si>
    <t>Silver</t>
  </si>
  <si>
    <t>Mountain-500 Silver, 48</t>
  </si>
  <si>
    <t>Mountain-500 Silver, 44</t>
  </si>
  <si>
    <t>Cycling Cap</t>
  </si>
  <si>
    <t>Mountain-500 Silver, 42</t>
  </si>
  <si>
    <t>Mountain-500 Silver, 40</t>
  </si>
  <si>
    <t>Mountain-400-W Silver, 46</t>
  </si>
  <si>
    <t>Long-Sleeve Logo Jersey</t>
  </si>
  <si>
    <t>Mountain-400-W Silver, 42</t>
  </si>
  <si>
    <t>Mountain-400-W Silver, 40</t>
  </si>
  <si>
    <t>Mountain-400-W Silver, 38</t>
  </si>
  <si>
    <t>Touring-3000 Blue, 50</t>
  </si>
  <si>
    <t>Blue</t>
  </si>
  <si>
    <t>Touring Bikes</t>
  </si>
  <si>
    <t>Touring-3000 Blue, 44</t>
  </si>
  <si>
    <t>Road-750 Black, 58</t>
  </si>
  <si>
    <t>Road-350-W Yellow, 48</t>
  </si>
  <si>
    <t>Yellow</t>
  </si>
  <si>
    <t>Road-350-W Yellow, 44</t>
  </si>
  <si>
    <t>Road-350-W Yellow, 42</t>
  </si>
  <si>
    <t>Road-350-W Yellow, 40</t>
  </si>
  <si>
    <t>Touring-2000 Blue, 54</t>
  </si>
  <si>
    <t>Touring-2000 Blue, 50</t>
  </si>
  <si>
    <t>Touring-2000 Blue, 46</t>
  </si>
  <si>
    <t>Touring-1000 Blue, 60</t>
  </si>
  <si>
    <t>Touring-1000 Blue, 54</t>
  </si>
  <si>
    <t>Touring-1000 Blue, 50</t>
  </si>
  <si>
    <t>Touring-1000 Blue, 46</t>
  </si>
  <si>
    <t>Touring-3000 Yellow, 62</t>
  </si>
  <si>
    <t>Touring-3000 Yellow, 58</t>
  </si>
  <si>
    <t>Touring-3000 Yellow, 54</t>
  </si>
  <si>
    <t>Touring-3000 Yellow, 50</t>
  </si>
  <si>
    <t>Touring-3000 Yellow, 44</t>
  </si>
  <si>
    <t>Touring-3000 Blue, 62</t>
  </si>
  <si>
    <t>Touring-3000 Blue, 58</t>
  </si>
  <si>
    <t>Touring-3000 Blue, 54</t>
  </si>
  <si>
    <t>Touring-1000 Yellow, 60</t>
  </si>
  <si>
    <t>Touring-1000 Yellow, 54</t>
  </si>
  <si>
    <t>LL Road Frame</t>
  </si>
  <si>
    <t>Touring-1000 Yellow, 50</t>
  </si>
  <si>
    <t>Touring-1000 Yellow, 46</t>
  </si>
  <si>
    <t>Touring-2000 Blue, 60</t>
  </si>
  <si>
    <t>Chain</t>
  </si>
  <si>
    <t>Chains</t>
  </si>
  <si>
    <t>HL Crankset</t>
  </si>
  <si>
    <t>Cranksets</t>
  </si>
  <si>
    <t>ML Crankset</t>
  </si>
  <si>
    <t>LL Crankset</t>
  </si>
  <si>
    <t>Front Brakes</t>
  </si>
  <si>
    <t>Brakes</t>
  </si>
  <si>
    <t>HL Touring Handlebars</t>
  </si>
  <si>
    <t>Handlebars</t>
  </si>
  <si>
    <t>LL Touring Handlebars</t>
  </si>
  <si>
    <t>Front Derailleur</t>
  </si>
  <si>
    <t>Derailleurs</t>
  </si>
  <si>
    <t>LL Mountain Frame - Silver, 40</t>
  </si>
  <si>
    <t>Mountain Frames</t>
  </si>
  <si>
    <t>LL Mountain Frame - Black, 40</t>
  </si>
  <si>
    <t>ML Mountain Frame-W - Silver, 38</t>
  </si>
  <si>
    <t>Touring Pedal</t>
  </si>
  <si>
    <t>Silver/Black</t>
  </si>
  <si>
    <t>Pedals</t>
  </si>
  <si>
    <t>HL Road Pedal</t>
  </si>
  <si>
    <t>ML Road Pedal</t>
  </si>
  <si>
    <t>LL Road Pedal</t>
  </si>
  <si>
    <t>HL Mountain Pedal</t>
  </si>
  <si>
    <t>ML Mountain Pedal</t>
  </si>
  <si>
    <t>LL Mountain Pedal</t>
  </si>
  <si>
    <t>ML Road Frame</t>
  </si>
  <si>
    <t>Touring Tire</t>
  </si>
  <si>
    <t>Accessories</t>
  </si>
  <si>
    <t>Tires and Tubes</t>
  </si>
  <si>
    <t>HL Road Tire</t>
  </si>
  <si>
    <t>ML Road Tire</t>
  </si>
  <si>
    <t>LL Road Tire</t>
  </si>
  <si>
    <t>HL Mountain Tire</t>
  </si>
  <si>
    <t>ML Mountain Tire</t>
  </si>
  <si>
    <t>LL Mountain Tire</t>
  </si>
  <si>
    <t>LL Mountain Frame - Black, 52</t>
  </si>
  <si>
    <t>LL Mountain Frame - Black, 48</t>
  </si>
  <si>
    <t>LL Mountain Frame - Black, 44</t>
  </si>
  <si>
    <t>LL Mountain Frame - Black, 42</t>
  </si>
  <si>
    <t>Touring Tire Tube</t>
  </si>
  <si>
    <t>Road Tire Tube</t>
  </si>
  <si>
    <t>Mountain Tire Tube</t>
  </si>
  <si>
    <t>HL Mountain Frame</t>
  </si>
  <si>
    <t>LL Mountain Frame - Silver, 52</t>
  </si>
  <si>
    <t>LL Mountain Frame - Silver, 48</t>
  </si>
  <si>
    <t>LL Mountain Frame - Silver, 44</t>
  </si>
  <si>
    <t>LL Mountain Frame - Silver, 42</t>
  </si>
  <si>
    <t>HL Touring Seat/Saddle</t>
  </si>
  <si>
    <t>Saddles</t>
  </si>
  <si>
    <t>ML Touring Seat/Saddle</t>
  </si>
  <si>
    <t>LL Touring Seat/Saddle</t>
  </si>
  <si>
    <t>HL Road Seat/Saddle</t>
  </si>
  <si>
    <t>ML Road Seat/Saddle</t>
  </si>
  <si>
    <t>LL Road Seat/Saddle</t>
  </si>
  <si>
    <t>HL Mountain Seat/Saddle</t>
  </si>
  <si>
    <t>ML Mountain Seat/Saddle</t>
  </si>
  <si>
    <t>LL Mountain Seat/Saddle</t>
  </si>
  <si>
    <t>Rear Brakes</t>
  </si>
  <si>
    <t>ML Mountain Frame-W - Silver, 46</t>
  </si>
  <si>
    <t>ML Mountain Frame-W - Silver, 42</t>
  </si>
  <si>
    <t>ML Mountain Frame-W - Silver, 40</t>
  </si>
  <si>
    <t>LL Touring Frame - Blue, 44</t>
  </si>
  <si>
    <t>Touring Frames</t>
  </si>
  <si>
    <t>LL Touring Frame - Yellow, 58</t>
  </si>
  <si>
    <t>LL Touring Frame - Yellow, 54</t>
  </si>
  <si>
    <t>LL Touring Frame - Yellow, 50</t>
  </si>
  <si>
    <t>LL Touring Frame - Yellow, 44</t>
  </si>
  <si>
    <t>Road-150</t>
  </si>
  <si>
    <t>LL Touring Frame - Blue, 62</t>
  </si>
  <si>
    <t>LL Touring Frame - Blue, 58</t>
  </si>
  <si>
    <t>LL Touring Frame - Blue, 54</t>
  </si>
  <si>
    <t>LL Touring Frame - Blue, 50</t>
  </si>
  <si>
    <t>Rear Derailleur</t>
  </si>
  <si>
    <t>Road-450</t>
  </si>
  <si>
    <t>HL Touring Frame - Blue, 60</t>
  </si>
  <si>
    <t>HL Touring Frame - Blue, 54</t>
  </si>
  <si>
    <t>HL Touring Frame - Blue, 50</t>
  </si>
  <si>
    <t>HL Touring Frame - Blue, 46</t>
  </si>
  <si>
    <t>HL Touring Frame - Yellow, 54</t>
  </si>
  <si>
    <t>Road-650</t>
  </si>
  <si>
    <t>HL Touring Frame - Yellow, 50</t>
  </si>
  <si>
    <t>HL Touring Frame - Yellow, 46</t>
  </si>
  <si>
    <t>LL Touring Frame - Yellow, 62</t>
  </si>
  <si>
    <t>HL Touring Frame - Yellow, 60</t>
  </si>
  <si>
    <t>Short-Sleeve Classic Jersey, XL</t>
  </si>
  <si>
    <t>Clothing</t>
  </si>
  <si>
    <t>Jerseys</t>
  </si>
  <si>
    <t>Short-Sleeve Classic Jersey, L</t>
  </si>
  <si>
    <t>Short-Sleeve Classic Jersey, M</t>
  </si>
  <si>
    <t>Short-Sleeve Classic Jersey, S</t>
  </si>
  <si>
    <t>Hydration Pack - 70 oz.</t>
  </si>
  <si>
    <t>Hydration Packs</t>
  </si>
  <si>
    <t>All-Purpose Bike Stand</t>
  </si>
  <si>
    <t>Bike Stands</t>
  </si>
  <si>
    <t>Fender Set - Mountain</t>
  </si>
  <si>
    <t>Fenders</t>
  </si>
  <si>
    <t>Bike Wash - Dissolver</t>
  </si>
  <si>
    <t>Cleaners</t>
  </si>
  <si>
    <t>Hitch Rack - 4-Bike</t>
  </si>
  <si>
    <t>Bike Racks</t>
  </si>
  <si>
    <t>Racing Socks, L</t>
  </si>
  <si>
    <t>White</t>
  </si>
  <si>
    <t>Socks</t>
  </si>
  <si>
    <t>Racing Socks, M</t>
  </si>
  <si>
    <t>Patch Kit/8 Patches</t>
  </si>
  <si>
    <t>Road Bottle Cage</t>
  </si>
  <si>
    <t>Bottles and Cages</t>
  </si>
  <si>
    <t>Mountain Bottle Cage</t>
  </si>
  <si>
    <t>Water Bottle - 30 oz.</t>
  </si>
  <si>
    <t>Women's Mountain Shorts, L</t>
  </si>
  <si>
    <t>Shorts</t>
  </si>
  <si>
    <t>Women's Mountain Shorts, M</t>
  </si>
  <si>
    <t>Women's Mountain Shorts, S</t>
  </si>
  <si>
    <t>Classic Vest, L</t>
  </si>
  <si>
    <t>Vests</t>
  </si>
  <si>
    <t>Classic Vest, M</t>
  </si>
  <si>
    <t>Mountain-100</t>
  </si>
  <si>
    <t>Classic Vest, S</t>
  </si>
  <si>
    <t>Full-Finger Gloves, L</t>
  </si>
  <si>
    <t>Gloves</t>
  </si>
  <si>
    <t>Full-Finger Gloves, M</t>
  </si>
  <si>
    <t>Full-Finger Gloves, S</t>
  </si>
  <si>
    <t>Half-Finger Gloves, L</t>
  </si>
  <si>
    <t>Half-Finger Gloves, M</t>
  </si>
  <si>
    <t>Mountain-200</t>
  </si>
  <si>
    <t>Half-Finger Gloves, S</t>
  </si>
  <si>
    <t>Men's Bib-Shorts, L</t>
  </si>
  <si>
    <t>Multi</t>
  </si>
  <si>
    <t>Bib-Shorts</t>
  </si>
  <si>
    <t>Men's Bib-Shorts, M</t>
  </si>
  <si>
    <t>Men's Bib-Shorts, S</t>
  </si>
  <si>
    <t>Women's Tights, L</t>
  </si>
  <si>
    <t>Tights</t>
  </si>
  <si>
    <t>Women's Tights, M</t>
  </si>
  <si>
    <t>Women's Tights, S</t>
  </si>
  <si>
    <t>Men's Sports Shorts, XL</t>
  </si>
  <si>
    <t>Men's Sports Shorts, L</t>
  </si>
  <si>
    <t>Men's Sports Shorts, M</t>
  </si>
  <si>
    <t>Headlights - Weatherproof</t>
  </si>
  <si>
    <t>Lights</t>
  </si>
  <si>
    <t>Mountain-300</t>
  </si>
  <si>
    <t>Headlights - Dual-Beam</t>
  </si>
  <si>
    <t>Taillights - Battery-Powered</t>
  </si>
  <si>
    <t>Mountain Pump</t>
  </si>
  <si>
    <t>Pumps</t>
  </si>
  <si>
    <t>Minipump</t>
  </si>
  <si>
    <t>Road-250</t>
  </si>
  <si>
    <t>Cable Lock</t>
  </si>
  <si>
    <t>Locks</t>
  </si>
  <si>
    <t>Touring-Panniers, Large</t>
  </si>
  <si>
    <t>Grey</t>
  </si>
  <si>
    <t>Panniers</t>
  </si>
  <si>
    <t>Men's Sports Shorts, S</t>
  </si>
  <si>
    <t>HL Road Frame - Black, 52</t>
  </si>
  <si>
    <t>Road Frames</t>
  </si>
  <si>
    <t>HL Road Frame - Black, 48</t>
  </si>
  <si>
    <t>HL Road Frame - Black, 44</t>
  </si>
  <si>
    <t>HL Road Frame - Black, 62</t>
  </si>
  <si>
    <t>ML Road Frame-W - Yellow, 48</t>
  </si>
  <si>
    <t>Road-550-W</t>
  </si>
  <si>
    <t>ML Road Frame-W - Yellow, 44</t>
  </si>
  <si>
    <t>ML Road Frame-W - Yellow, 42</t>
  </si>
  <si>
    <t>ML Road Frame-W - Yellow, 40</t>
  </si>
  <si>
    <t>ML Mountain Frame - Black, 48</t>
  </si>
  <si>
    <t>ML Mountain Frame - Black, 44</t>
  </si>
  <si>
    <t>ML Mountain Frame - Black, 40</t>
  </si>
  <si>
    <t>Touring Rear Wheel</t>
  </si>
  <si>
    <t>Wheels</t>
  </si>
  <si>
    <t>LL Fork</t>
  </si>
  <si>
    <t>HL Road Rear Wheel</t>
  </si>
  <si>
    <t>ML Fork</t>
  </si>
  <si>
    <t>ML Road Rear Wheel</t>
  </si>
  <si>
    <t>HL Fork</t>
  </si>
  <si>
    <t>LL Road Rear Wheel</t>
  </si>
  <si>
    <t>LL Headset</t>
  </si>
  <si>
    <t>HL Mountain Rear Wheel</t>
  </si>
  <si>
    <t>ML Headset</t>
  </si>
  <si>
    <t>ML Mountain Rear Wheel</t>
  </si>
  <si>
    <t>HL Headset</t>
  </si>
  <si>
    <t>LL Mountain Rear Wheel</t>
  </si>
  <si>
    <t>LL Mountain Handlebars</t>
  </si>
  <si>
    <t>ML Road Frame-W - Yellow, 38</t>
  </si>
  <si>
    <t>ML Mountain Handlebars</t>
  </si>
  <si>
    <t>Touring Front Wheel</t>
  </si>
  <si>
    <t>HL Road Front Wheel</t>
  </si>
  <si>
    <t>HL Mountain Handlebars</t>
  </si>
  <si>
    <t>ML Road Front Wheel</t>
  </si>
  <si>
    <t>LL Road Front Wheel</t>
  </si>
  <si>
    <t>LL Road Handlebars</t>
  </si>
  <si>
    <t>HL Mountain Front Wheel</t>
  </si>
  <si>
    <t>ML Mountain Front Wheel</t>
  </si>
  <si>
    <t>ML Road Handlebars</t>
  </si>
  <si>
    <t>LL Mountain Front Wheel</t>
  </si>
  <si>
    <t>ML Mountain Frame - Black, 38</t>
  </si>
  <si>
    <t>HL Road Handlebars</t>
  </si>
  <si>
    <t>ML Mountain Frame-W</t>
  </si>
  <si>
    <t>ML Road Frame-W</t>
  </si>
  <si>
    <t>Headsets</t>
  </si>
  <si>
    <t>Forks</t>
  </si>
  <si>
    <t>Road-550-W Yellow, 48</t>
  </si>
  <si>
    <t>ML Mountain Frame</t>
  </si>
  <si>
    <t>Road-550-W Yellow, 44</t>
  </si>
  <si>
    <t>Road-550-W Yellow, 42</t>
  </si>
  <si>
    <t>Road-550-W Yellow, 40</t>
  </si>
  <si>
    <t>Road-550-W Yellow, 38</t>
  </si>
  <si>
    <t>Road-250 Black, 58</t>
  </si>
  <si>
    <t>Road-250 Black, 52</t>
  </si>
  <si>
    <t>Road-250 Black, 48</t>
  </si>
  <si>
    <t>Road-250 Black, 44</t>
  </si>
  <si>
    <t>Road-250 Red, 58</t>
  </si>
  <si>
    <t>Red</t>
  </si>
  <si>
    <t>Men's Sports Shorts</t>
  </si>
  <si>
    <t>Road-250 Red, 52</t>
  </si>
  <si>
    <t>Touring-Panniers</t>
  </si>
  <si>
    <t>Road-250 Red, 48</t>
  </si>
  <si>
    <t>Road-250 Red, 44</t>
  </si>
  <si>
    <t>Mountain-300 Black, 48</t>
  </si>
  <si>
    <t>Mountain-300 Black, 44</t>
  </si>
  <si>
    <t>Taillight</t>
  </si>
  <si>
    <t>Mountain-300 Black, 40</t>
  </si>
  <si>
    <t>Mountain-300 Black, 38</t>
  </si>
  <si>
    <t>Mountain-200 Black, 46</t>
  </si>
  <si>
    <t>Mountain-200 Black, 42</t>
  </si>
  <si>
    <t>Women's Tights</t>
  </si>
  <si>
    <t>Mountain-200 Black, 38</t>
  </si>
  <si>
    <t>Mountain-200 Silver, 46</t>
  </si>
  <si>
    <t>Men's Bib-Shorts</t>
  </si>
  <si>
    <t>Mountain-200 Silver, 42</t>
  </si>
  <si>
    <t>Half-Finger Gloves</t>
  </si>
  <si>
    <t>Mountain-200 Silver, 38</t>
  </si>
  <si>
    <t>Mountain-100 Black, 48</t>
  </si>
  <si>
    <t>Mountain-100 Black, 44</t>
  </si>
  <si>
    <t>Mountain-100 Black, 42</t>
  </si>
  <si>
    <t>Mountain-100 Black, 38</t>
  </si>
  <si>
    <t>Full-Finger Gloves</t>
  </si>
  <si>
    <t>Mountain-100 Silver, 48</t>
  </si>
  <si>
    <t>Mountain-100 Silver, 44</t>
  </si>
  <si>
    <t>Mountain-100 Silver, 42</t>
  </si>
  <si>
    <t>Classic Vest</t>
  </si>
  <si>
    <t>Mountain-100 Silver, 38</t>
  </si>
  <si>
    <t>Road-650 Black, 52</t>
  </si>
  <si>
    <t>Women's Mountain Shorts</t>
  </si>
  <si>
    <t>Road-650 Black, 48</t>
  </si>
  <si>
    <t>Road-650 Black, 44</t>
  </si>
  <si>
    <t>Water Bottle</t>
  </si>
  <si>
    <t>Road-650 Black, 62</t>
  </si>
  <si>
    <t>Patch kit</t>
  </si>
  <si>
    <t>Road-650 Black, 60</t>
  </si>
  <si>
    <t>Racing Socks</t>
  </si>
  <si>
    <t>Road-650 Black, 58</t>
  </si>
  <si>
    <t>Bike Wash</t>
  </si>
  <si>
    <t>Road-650 Red, 52</t>
  </si>
  <si>
    <t>Road-650 Red, 48</t>
  </si>
  <si>
    <t>Hydration Pack</t>
  </si>
  <si>
    <t>Short-Sleeve Classic Jersey</t>
  </si>
  <si>
    <t>Road-650 Red, 44</t>
  </si>
  <si>
    <t>Road-650 Red, 62</t>
  </si>
  <si>
    <t>HL Touring Frame</t>
  </si>
  <si>
    <t>Road-650 Red, 60</t>
  </si>
  <si>
    <t>LL Touring Frame</t>
  </si>
  <si>
    <t>Road-650 Red, 58</t>
  </si>
  <si>
    <t>Road-450 Red, 52</t>
  </si>
  <si>
    <t>Road-450 Red, 48</t>
  </si>
  <si>
    <t>Road-450 Red, 44</t>
  </si>
  <si>
    <t>Road-450 Red, 60</t>
  </si>
  <si>
    <t>Road-450 Red, 58</t>
  </si>
  <si>
    <t>Road-150 Red, 56</t>
  </si>
  <si>
    <t>Road-150 Red, 52</t>
  </si>
  <si>
    <t>Road-150 Red, 48</t>
  </si>
  <si>
    <t>Road-150 Red, 44</t>
  </si>
  <si>
    <t>Road-150 Red, 62</t>
  </si>
  <si>
    <t>HL Mountain Frame - Silver, 38</t>
  </si>
  <si>
    <t>HL Mountain Frame - Black, 38</t>
  </si>
  <si>
    <t>HL Mountain Frame - Black, 46</t>
  </si>
  <si>
    <t>LL Mountain Seat/Saddle 2</t>
  </si>
  <si>
    <t>HL Mountain Frame - Black, 48</t>
  </si>
  <si>
    <t>ML Mountain Seat/Saddle 2</t>
  </si>
  <si>
    <t>HL Mountain Frame - Black, 44</t>
  </si>
  <si>
    <t>HL Mountain Seat/Saddle 2</t>
  </si>
  <si>
    <t>HL Mountain Frame - Black, 42</t>
  </si>
  <si>
    <t>LL Road Seat/Saddle 1</t>
  </si>
  <si>
    <t>ML Road Seat/Saddle 2</t>
  </si>
  <si>
    <t>HL Road Seat/Saddle 2</t>
  </si>
  <si>
    <t>HL Mountain Frame - Silver, 46</t>
  </si>
  <si>
    <t>HL Mountain Frame - Silver, 48</t>
  </si>
  <si>
    <t>LL Mountain Frame</t>
  </si>
  <si>
    <t>HL Mountain Frame - Silver, 44</t>
  </si>
  <si>
    <t>HL Mountain Frame - Silver, 42</t>
  </si>
  <si>
    <t>LL Road Frame - Black, 52</t>
  </si>
  <si>
    <t>LL Road Frame - Black, 48</t>
  </si>
  <si>
    <t>LL Road Frame - Black, 44</t>
  </si>
  <si>
    <t>ML Road Frame - Red, 60</t>
  </si>
  <si>
    <t>ML Road Frame - Red, 58</t>
  </si>
  <si>
    <t>ML Road Frame - Red, 52</t>
  </si>
  <si>
    <t>ML Road Frame - Red, 48</t>
  </si>
  <si>
    <t>ML Road Frame - Red, 44</t>
  </si>
  <si>
    <t>LL Road Frame - Red, 62</t>
  </si>
  <si>
    <t>LL Road Frame - Red, 60</t>
  </si>
  <si>
    <t>LL Road Frame - Red, 58</t>
  </si>
  <si>
    <t>LL Road Frame - Red, 52</t>
  </si>
  <si>
    <t>LL Road Frame - Red, 48</t>
  </si>
  <si>
    <t>LL Road Frame - Red, 44</t>
  </si>
  <si>
    <t>LL Road Frame - Black, 62</t>
  </si>
  <si>
    <t>LL Road Frame - Black, 60</t>
  </si>
  <si>
    <t>Touring-2000</t>
  </si>
  <si>
    <t>LL Road Frame - Black, 58</t>
  </si>
  <si>
    <t>Touring-1000</t>
  </si>
  <si>
    <t>HL Road Frame - Red, 56</t>
  </si>
  <si>
    <t>Touring-3000</t>
  </si>
  <si>
    <t>HL Road Frame - Red, 52</t>
  </si>
  <si>
    <t>HL Road Frame - Red, 48</t>
  </si>
  <si>
    <t>HL Road Frame - Red, 44</t>
  </si>
  <si>
    <t>HL Road Frame - Red, 62</t>
  </si>
  <si>
    <t>Long-Sleeve Logo Jersey, XL</t>
  </si>
  <si>
    <t>Road-350-W</t>
  </si>
  <si>
    <t>Long-Sleeve Logo Jersey, L</t>
  </si>
  <si>
    <t>Road-750</t>
  </si>
  <si>
    <t>Long-Sleeve Logo Jersey, M</t>
  </si>
  <si>
    <t>Mountain-400-W</t>
  </si>
  <si>
    <t>Long-Sleeve Logo Jersey, S</t>
  </si>
  <si>
    <t>AWC Logo Cap</t>
  </si>
  <si>
    <t>Caps</t>
  </si>
  <si>
    <t>Mountain-500</t>
  </si>
  <si>
    <t>Sport-100 Helmet, Blue</t>
  </si>
  <si>
    <t>Helmets</t>
  </si>
  <si>
    <t>Mountain Bike Socks, L</t>
  </si>
  <si>
    <t>Mountain Bike Socks, M</t>
  </si>
  <si>
    <t>Sport-100 Helmet, Black</t>
  </si>
  <si>
    <t>Sport-100 Helmet, Red</t>
  </si>
  <si>
    <t>HL Road Frame - Red, 58</t>
  </si>
  <si>
    <t>HL Road Frame - Black, 58</t>
  </si>
  <si>
    <t>Pencil 1</t>
  </si>
  <si>
    <t>In Hand Salary</t>
  </si>
  <si>
    <t>Perfect/N.PerfectV</t>
  </si>
  <si>
    <t>Sorvino 3</t>
  </si>
  <si>
    <t>Sum of Base Salary</t>
  </si>
  <si>
    <t>High Income</t>
  </si>
  <si>
    <t>Low Income</t>
  </si>
  <si>
    <t>Count of Employee Name</t>
  </si>
  <si>
    <t>Sum of TA3%</t>
  </si>
  <si>
    <t>Sum of DA 14%</t>
  </si>
  <si>
    <t>Sum of P F Deduction 12%</t>
  </si>
  <si>
    <t>(blank)</t>
  </si>
  <si>
    <t>Sum of HRA 7%</t>
  </si>
  <si>
    <t>Column1</t>
  </si>
  <si>
    <t>Column2</t>
  </si>
  <si>
    <t>Column3</t>
  </si>
  <si>
    <t>Column4</t>
  </si>
  <si>
    <t>Column5</t>
  </si>
  <si>
    <t>Column6</t>
  </si>
  <si>
    <t>Column7</t>
  </si>
  <si>
    <t>Column8</t>
  </si>
  <si>
    <t>Column9</t>
  </si>
  <si>
    <t>Column10</t>
  </si>
  <si>
    <t>Column11</t>
  </si>
  <si>
    <t>Column12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</si>
</sst>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43" formatCode="_ * #,##0.00_ ;_ * \-#,##0.00_ ;_ * &quot;-&quot;??_ ;_ @_ "/>
    <numFmt numFmtId="164" formatCode="_ [$₹-4009]\ * #,##0.00_ ;_ [$₹-4009]\ * \-#,##0.00_ ;_ [$₹-4009]\ * &quot;-&quot;??_ ;_ @_ "/>
    <numFmt numFmtId="165" formatCode="[$-F800]dddd\,\ mmmm\ dd\,\ yyyy"/>
    <numFmt numFmtId="166" formatCode="m/d/yy;@"/>
    <numFmt numFmtId="167" formatCode="0.0"/>
    <numFmt numFmtId="168" formatCode="_ [$₹-4009]\ * #,##0.0_ ;_ [$₹-4009]\ * \-#,##0.0_ ;_ [$₹-4009]\ * &quot;-&quot;??_ ;_ @_ "/>
  </numFmts>
  <fonts count="12" x14ac:knownFonts="1">
    <font>
      <sz val="11"/>
      <color theme="1"/>
      <name val="Calibri"/>
      <family val="2"/>
      <scheme val="minor"/>
    </font>
    <font>
      <b/>
      <sz val="11"/>
      <color theme="1"/>
      <name val="Calibri"/>
      <family val="2"/>
      <scheme val="minor"/>
    </font>
    <font>
      <sz val="14"/>
      <color rgb="FF7030A0"/>
      <name val="Times New Roman"/>
      <family val="1"/>
    </font>
    <font>
      <sz val="12"/>
      <color theme="1"/>
      <name val="Times New Roman"/>
      <family val="1"/>
    </font>
    <font>
      <sz val="18"/>
      <color rgb="FF7030A0"/>
      <name val="Times New Roman"/>
      <family val="1"/>
    </font>
    <font>
      <sz val="14"/>
      <color rgb="FF7030A0"/>
      <name val="Calibri"/>
      <family val="2"/>
      <scheme val="minor"/>
    </font>
    <font>
      <sz val="8"/>
      <name val="Calibri"/>
      <family val="2"/>
      <scheme val="minor"/>
    </font>
    <font>
      <sz val="12"/>
      <color rgb="FF7030A0"/>
      <name val="Calibri"/>
      <family val="2"/>
      <scheme val="minor"/>
    </font>
    <font>
      <sz val="12"/>
      <color theme="1"/>
      <name val="Calibri"/>
      <family val="2"/>
      <scheme val="minor"/>
    </font>
    <font>
      <sz val="11"/>
      <color theme="1"/>
      <name val="Calibri"/>
      <family val="2"/>
      <scheme val="minor"/>
    </font>
    <font>
      <b/>
      <sz val="10"/>
      <color indexed="12"/>
      <name val="Arial"/>
      <family val="2"/>
    </font>
    <font>
      <sz val="10"/>
      <name val="Arial"/>
      <family val="2"/>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8"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6">
    <xf numFmtId="0" fontId="0" fillId="0" borderId="0"/>
    <xf numFmtId="43" fontId="9" fillId="0" borderId="0" applyFont="0" applyFill="0" applyBorder="0" applyAlignment="0" applyProtection="0"/>
    <xf numFmtId="0" fontId="11" fillId="0" borderId="0"/>
    <xf numFmtId="0" fontId="11" fillId="0" borderId="0" applyFont="0" applyFill="0" applyBorder="0" applyAlignment="0" applyProtection="0"/>
    <xf numFmtId="0" fontId="11" fillId="0" borderId="0"/>
    <xf numFmtId="44" fontId="9" fillId="0" borderId="0" applyFont="0" applyFill="0" applyBorder="0" applyAlignment="0" applyProtection="0"/>
  </cellStyleXfs>
  <cellXfs count="122">
    <xf numFmtId="0" fontId="0" fillId="0" borderId="0" xfId="0"/>
    <xf numFmtId="0" fontId="1" fillId="0" borderId="0" xfId="0" applyFont="1"/>
    <xf numFmtId="0" fontId="3" fillId="0" borderId="1" xfId="0" applyFont="1" applyBorder="1"/>
    <xf numFmtId="0" fontId="2" fillId="2" borderId="1" xfId="0" applyFont="1" applyFill="1" applyBorder="1" applyAlignment="1">
      <alignment horizontal="center" vertical="center"/>
    </xf>
    <xf numFmtId="0" fontId="3" fillId="0" borderId="3" xfId="0" applyFont="1" applyBorder="1"/>
    <xf numFmtId="0" fontId="3" fillId="0" borderId="3" xfId="0" applyFont="1" applyBorder="1" applyAlignment="1">
      <alignment horizontal="center"/>
    </xf>
    <xf numFmtId="0" fontId="3" fillId="0" borderId="1" xfId="0" applyFont="1" applyBorder="1" applyAlignment="1">
      <alignment horizontal="center"/>
    </xf>
    <xf numFmtId="0" fontId="3" fillId="0" borderId="3" xfId="0" applyFont="1" applyBorder="1" applyAlignment="1">
      <alignment horizontal="left" indent="2"/>
    </xf>
    <xf numFmtId="0" fontId="3" fillId="0" borderId="1" xfId="0" applyFont="1" applyBorder="1" applyAlignment="1">
      <alignment horizontal="left" indent="2"/>
    </xf>
    <xf numFmtId="0" fontId="3" fillId="0" borderId="3" xfId="0" applyFont="1" applyBorder="1" applyAlignment="1">
      <alignment horizontal="left" indent="3"/>
    </xf>
    <xf numFmtId="0" fontId="3" fillId="0" borderId="1" xfId="0" applyFont="1" applyBorder="1" applyAlignment="1">
      <alignment horizontal="left" indent="3"/>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0" fillId="0" borderId="1" xfId="0" applyBorder="1" applyAlignment="1">
      <alignment horizontal="left" indent="1"/>
    </xf>
    <xf numFmtId="0" fontId="0" fillId="0" borderId="1" xfId="0" applyBorder="1"/>
    <xf numFmtId="0" fontId="0" fillId="0" borderId="1" xfId="0" applyBorder="1" applyAlignment="1">
      <alignment horizontal="center"/>
    </xf>
    <xf numFmtId="0" fontId="0" fillId="0" borderId="3" xfId="0" applyBorder="1" applyAlignment="1">
      <alignment horizontal="center"/>
    </xf>
    <xf numFmtId="0" fontId="0" fillId="0" borderId="3" xfId="0" applyBorder="1" applyAlignment="1">
      <alignment horizontal="left" indent="1"/>
    </xf>
    <xf numFmtId="0" fontId="0" fillId="0" borderId="1" xfId="0"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wrapText="1"/>
    </xf>
    <xf numFmtId="0" fontId="3" fillId="0" borderId="3" xfId="0" applyFont="1" applyBorder="1" applyAlignment="1">
      <alignment horizontal="center" wrapText="1"/>
    </xf>
    <xf numFmtId="0" fontId="3" fillId="0" borderId="1" xfId="0" applyFont="1" applyBorder="1" applyAlignment="1">
      <alignment horizontal="center" wrapText="1"/>
    </xf>
    <xf numFmtId="2" fontId="0" fillId="0" borderId="1" xfId="0" applyNumberFormat="1" applyBorder="1" applyAlignment="1">
      <alignment horizontal="center"/>
    </xf>
    <xf numFmtId="164" fontId="0" fillId="0" borderId="1" xfId="0" applyNumberFormat="1" applyBorder="1" applyAlignment="1">
      <alignment horizontal="center"/>
    </xf>
    <xf numFmtId="165" fontId="0" fillId="0" borderId="0" xfId="0" applyNumberFormat="1"/>
    <xf numFmtId="2" fontId="0" fillId="0" borderId="0" xfId="0" applyNumberFormat="1"/>
    <xf numFmtId="0" fontId="7" fillId="4" borderId="1" xfId="0" applyFont="1" applyFill="1" applyBorder="1" applyAlignment="1">
      <alignment horizontal="center" vertical="center"/>
    </xf>
    <xf numFmtId="0" fontId="7" fillId="4" borderId="1" xfId="0" applyFont="1" applyFill="1" applyBorder="1" applyAlignment="1">
      <alignment horizontal="center"/>
    </xf>
    <xf numFmtId="0" fontId="8" fillId="0" borderId="1" xfId="0" applyFont="1" applyBorder="1"/>
    <xf numFmtId="0" fontId="8" fillId="0" borderId="1" xfId="0" applyFont="1" applyBorder="1" applyAlignment="1">
      <alignment horizontal="center"/>
    </xf>
    <xf numFmtId="0" fontId="0" fillId="0" borderId="0" xfId="0" pivotButton="1"/>
    <xf numFmtId="0" fontId="0" fillId="0" borderId="0" xfId="0" applyAlignment="1">
      <alignment horizontal="left"/>
    </xf>
    <xf numFmtId="0" fontId="10" fillId="4" borderId="0" xfId="2" applyFont="1" applyFill="1" applyAlignment="1">
      <alignment horizontal="left" vertical="center"/>
    </xf>
    <xf numFmtId="0" fontId="10" fillId="4" borderId="0" xfId="3" applyFont="1" applyFill="1" applyBorder="1" applyAlignment="1" applyProtection="1">
      <alignment horizontal="left" vertical="center"/>
      <protection locked="0"/>
    </xf>
    <xf numFmtId="164" fontId="10" fillId="4" borderId="0" xfId="3" applyNumberFormat="1" applyFont="1" applyFill="1" applyBorder="1" applyAlignment="1" applyProtection="1">
      <alignment horizontal="left" vertical="center"/>
    </xf>
    <xf numFmtId="164" fontId="0" fillId="0" borderId="0" xfId="0" applyNumberFormat="1"/>
    <xf numFmtId="164" fontId="11" fillId="0" borderId="0" xfId="1" applyNumberFormat="1" applyFont="1" applyBorder="1" applyAlignment="1" applyProtection="1">
      <alignment vertical="center"/>
    </xf>
    <xf numFmtId="14" fontId="0" fillId="0" borderId="0" xfId="0" applyNumberFormat="1"/>
    <xf numFmtId="165" fontId="10" fillId="4" borderId="1" xfId="0" applyNumberFormat="1" applyFont="1" applyFill="1" applyBorder="1" applyAlignment="1">
      <alignment horizontal="center" vertical="center"/>
    </xf>
    <xf numFmtId="1" fontId="10" fillId="4" borderId="1" xfId="0" applyNumberFormat="1" applyFont="1" applyFill="1" applyBorder="1" applyAlignment="1">
      <alignment horizontal="left" vertical="center"/>
    </xf>
    <xf numFmtId="0" fontId="10" fillId="4" borderId="1" xfId="2" applyFont="1" applyFill="1" applyBorder="1" applyAlignment="1">
      <alignment horizontal="left" vertical="center"/>
    </xf>
    <xf numFmtId="0" fontId="10" fillId="4" borderId="1" xfId="3" applyFont="1" applyFill="1" applyBorder="1" applyAlignment="1" applyProtection="1">
      <alignment horizontal="left" vertical="center"/>
      <protection locked="0"/>
    </xf>
    <xf numFmtId="164" fontId="10" fillId="4" borderId="1" xfId="3" applyNumberFormat="1" applyFont="1" applyFill="1" applyBorder="1" applyAlignment="1" applyProtection="1">
      <alignment horizontal="left" vertical="center"/>
    </xf>
    <xf numFmtId="164" fontId="10" fillId="4" borderId="1" xfId="3" applyNumberFormat="1" applyFont="1" applyFill="1" applyBorder="1" applyAlignment="1" applyProtection="1">
      <alignment horizontal="center"/>
    </xf>
    <xf numFmtId="14" fontId="11" fillId="0" borderId="1" xfId="0" applyNumberFormat="1" applyFont="1" applyBorder="1" applyAlignment="1">
      <alignment vertical="center"/>
    </xf>
    <xf numFmtId="0" fontId="11" fillId="0" borderId="1" xfId="0" applyFont="1" applyBorder="1" applyAlignment="1">
      <alignment vertical="center"/>
    </xf>
    <xf numFmtId="0" fontId="11" fillId="0" borderId="1" xfId="2" applyBorder="1" applyAlignment="1">
      <alignment horizontal="left" vertical="center"/>
    </xf>
    <xf numFmtId="0" fontId="11" fillId="0" borderId="1" xfId="0" applyFont="1" applyBorder="1" applyAlignment="1" applyProtection="1">
      <alignment vertical="center"/>
      <protection locked="0"/>
    </xf>
    <xf numFmtId="164" fontId="11" fillId="0" borderId="1" xfId="1" applyNumberFormat="1" applyFont="1" applyFill="1" applyBorder="1" applyAlignment="1" applyProtection="1">
      <alignment horizontal="left" vertical="center"/>
    </xf>
    <xf numFmtId="164" fontId="11" fillId="0" borderId="1" xfId="1" applyNumberFormat="1" applyFont="1" applyBorder="1" applyAlignment="1" applyProtection="1">
      <alignment vertical="center"/>
    </xf>
    <xf numFmtId="0" fontId="11" fillId="0" borderId="1" xfId="4" applyBorder="1" applyAlignment="1">
      <alignment vertical="center"/>
    </xf>
    <xf numFmtId="165" fontId="0" fillId="3" borderId="0" xfId="0" applyNumberFormat="1" applyFill="1" applyAlignment="1">
      <alignment horizontal="center" vertical="center" wrapText="1"/>
    </xf>
    <xf numFmtId="2" fontId="0" fillId="0" borderId="3" xfId="0" applyNumberFormat="1" applyBorder="1" applyAlignment="1">
      <alignment horizontal="center"/>
    </xf>
    <xf numFmtId="167" fontId="8" fillId="0" borderId="1" xfId="0" applyNumberFormat="1" applyFont="1" applyBorder="1" applyAlignment="1">
      <alignment horizontal="center"/>
    </xf>
    <xf numFmtId="167" fontId="8" fillId="0" borderId="1" xfId="0" applyNumberFormat="1" applyFont="1" applyBorder="1" applyAlignment="1">
      <alignment horizontal="center" vertical="center"/>
    </xf>
    <xf numFmtId="168" fontId="0" fillId="0" borderId="1" xfId="0" applyNumberFormat="1" applyBorder="1" applyAlignment="1">
      <alignment horizontal="center"/>
    </xf>
    <xf numFmtId="168" fontId="8" fillId="0" borderId="1" xfId="0" applyNumberFormat="1" applyFont="1" applyBorder="1" applyAlignment="1">
      <alignment horizontal="left" indent="7"/>
    </xf>
    <xf numFmtId="168" fontId="8" fillId="0" borderId="1" xfId="0" applyNumberFormat="1" applyFont="1" applyBorder="1" applyAlignment="1">
      <alignment horizontal="left" wrapText="1" indent="7"/>
    </xf>
    <xf numFmtId="168" fontId="8" fillId="0" borderId="1" xfId="0" applyNumberFormat="1" applyFont="1" applyBorder="1" applyAlignment="1">
      <alignment horizontal="left" indent="10"/>
    </xf>
    <xf numFmtId="168" fontId="8" fillId="0" borderId="1" xfId="0" applyNumberFormat="1" applyFont="1" applyBorder="1" applyAlignment="1">
      <alignment horizontal="left" indent="11"/>
    </xf>
    <xf numFmtId="164" fontId="0" fillId="0" borderId="1" xfId="0" applyNumberFormat="1" applyBorder="1" applyAlignment="1">
      <alignment horizontal="left" vertical="center" indent="4"/>
    </xf>
    <xf numFmtId="164" fontId="0" fillId="0" borderId="1" xfId="0" applyNumberFormat="1" applyBorder="1" applyAlignment="1">
      <alignment horizontal="left" wrapText="1" indent="4"/>
    </xf>
    <xf numFmtId="164" fontId="0" fillId="0" borderId="1" xfId="0" applyNumberFormat="1" applyBorder="1" applyAlignment="1">
      <alignment horizontal="left" indent="4"/>
    </xf>
    <xf numFmtId="164" fontId="0" fillId="0" borderId="1" xfId="0" applyNumberFormat="1" applyBorder="1" applyAlignment="1">
      <alignment horizontal="left" vertical="center" indent="6"/>
    </xf>
    <xf numFmtId="164" fontId="0" fillId="0" borderId="1" xfId="0" applyNumberFormat="1" applyBorder="1" applyAlignment="1">
      <alignment horizontal="left" vertical="center" indent="8"/>
    </xf>
    <xf numFmtId="164" fontId="0" fillId="0" borderId="1" xfId="0" applyNumberFormat="1" applyBorder="1" applyAlignment="1">
      <alignment horizontal="left" indent="9"/>
    </xf>
    <xf numFmtId="168" fontId="0" fillId="0" borderId="1" xfId="0" applyNumberFormat="1" applyBorder="1" applyAlignment="1">
      <alignment horizontal="left" indent="4"/>
    </xf>
    <xf numFmtId="168" fontId="0" fillId="0" borderId="1" xfId="0" applyNumberFormat="1" applyBorder="1" applyAlignment="1">
      <alignment horizontal="left" wrapText="1" indent="4"/>
    </xf>
    <xf numFmtId="168" fontId="0" fillId="0" borderId="1" xfId="0" applyNumberFormat="1" applyBorder="1" applyAlignment="1">
      <alignment horizontal="left" indent="6"/>
    </xf>
    <xf numFmtId="168" fontId="0" fillId="0" borderId="1" xfId="0" applyNumberFormat="1" applyBorder="1" applyAlignment="1">
      <alignment horizontal="left" indent="8"/>
    </xf>
    <xf numFmtId="168" fontId="0" fillId="0" borderId="1" xfId="0" applyNumberFormat="1" applyBorder="1" applyAlignment="1">
      <alignment horizontal="left" indent="10"/>
    </xf>
    <xf numFmtId="168" fontId="8" fillId="0" borderId="1" xfId="5" applyNumberFormat="1" applyFont="1" applyBorder="1" applyAlignment="1">
      <alignment horizontal="left" indent="9"/>
    </xf>
    <xf numFmtId="0" fontId="0" fillId="0" borderId="0" xfId="0" applyAlignment="1">
      <alignment horizontal="center" vertical="center"/>
    </xf>
    <xf numFmtId="0" fontId="0" fillId="0" borderId="0" xfId="0"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3" fillId="0" borderId="5" xfId="0" applyFont="1" applyBorder="1"/>
    <xf numFmtId="0" fontId="2" fillId="3" borderId="4" xfId="0" applyFont="1" applyFill="1" applyBorder="1" applyAlignment="1">
      <alignment horizontal="center" vertical="center"/>
    </xf>
    <xf numFmtId="164" fontId="0" fillId="0" borderId="4" xfId="0" applyNumberFormat="1" applyBorder="1" applyAlignment="1">
      <alignment horizontal="left" indent="5"/>
    </xf>
    <xf numFmtId="0" fontId="2" fillId="3" borderId="7"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8" xfId="0" applyFont="1" applyFill="1" applyBorder="1" applyAlignment="1">
      <alignment horizontal="center" vertical="center"/>
    </xf>
    <xf numFmtId="0" fontId="3" fillId="0" borderId="9" xfId="0" applyFont="1" applyBorder="1"/>
    <xf numFmtId="0" fontId="0" fillId="0" borderId="2" xfId="0" applyBorder="1" applyAlignment="1">
      <alignment horizontal="center" vertical="center"/>
    </xf>
    <xf numFmtId="164" fontId="0" fillId="0" borderId="2" xfId="0" applyNumberFormat="1" applyBorder="1" applyAlignment="1">
      <alignment horizontal="left" vertical="center" indent="4"/>
    </xf>
    <xf numFmtId="164" fontId="0" fillId="0" borderId="2" xfId="0" applyNumberFormat="1" applyBorder="1" applyAlignment="1">
      <alignment horizontal="left" wrapText="1" indent="4"/>
    </xf>
    <xf numFmtId="164" fontId="0" fillId="0" borderId="2" xfId="0" applyNumberFormat="1" applyBorder="1" applyAlignment="1">
      <alignment horizontal="left" indent="4"/>
    </xf>
    <xf numFmtId="164" fontId="0" fillId="0" borderId="2" xfId="0" applyNumberFormat="1" applyBorder="1" applyAlignment="1">
      <alignment horizontal="left" vertical="center" indent="8"/>
    </xf>
    <xf numFmtId="164" fontId="0" fillId="0" borderId="2" xfId="0" applyNumberFormat="1" applyBorder="1" applyAlignment="1">
      <alignment horizontal="left" indent="9"/>
    </xf>
    <xf numFmtId="164" fontId="0" fillId="0" borderId="2" xfId="0" applyNumberFormat="1" applyBorder="1" applyAlignment="1">
      <alignment horizontal="center"/>
    </xf>
    <xf numFmtId="164" fontId="0" fillId="0" borderId="2" xfId="0" applyNumberFormat="1" applyBorder="1" applyAlignment="1">
      <alignment horizontal="left" vertical="center" indent="6"/>
    </xf>
    <xf numFmtId="164" fontId="0" fillId="0" borderId="10" xfId="0" applyNumberFormat="1" applyBorder="1" applyAlignment="1">
      <alignment horizontal="left" indent="5"/>
    </xf>
    <xf numFmtId="0" fontId="2" fillId="2" borderId="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3"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1" xfId="0" applyFont="1" applyFill="1" applyBorder="1" applyAlignment="1">
      <alignment horizontal="center"/>
    </xf>
    <xf numFmtId="0" fontId="5" fillId="5" borderId="1" xfId="0" applyFont="1" applyFill="1" applyBorder="1" applyAlignment="1">
      <alignment horizontal="center" vertical="center"/>
    </xf>
    <xf numFmtId="0" fontId="0" fillId="0" borderId="0" xfId="0" applyNumberFormat="1"/>
  </cellXfs>
  <cellStyles count="6">
    <cellStyle name="Comma" xfId="1" builtinId="3"/>
    <cellStyle name="Currency" xfId="5" builtinId="4"/>
    <cellStyle name="Currency_TapePivot" xfId="3" xr:uid="{1434EBF3-A7C0-4F09-8127-B541C79B99D3}"/>
    <cellStyle name="Normal" xfId="0" builtinId="0"/>
    <cellStyle name="Normal_Sheet1" xfId="4" xr:uid="{930D3D29-F725-4DA6-A3C3-2A005FCB9D8C}"/>
    <cellStyle name="Normal_TapePivot" xfId="2" xr:uid="{2C9CF219-F532-411D-BFBC-92D515E530FC}"/>
  </cellStyles>
  <dxfs count="43">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5700"/>
      </font>
      <fill>
        <patternFill>
          <bgColor rgb="FFFFEB9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164" formatCode="_ [$₹-4009]\ * #,##0.00_ ;_ [$₹-4009]\ * \-#,##0.00_ ;_ [$₹-4009]\ * &quot;-&quot;??_ ;_ @_ "/>
      <alignment horizontal="left" vertical="bottom" textRotation="0" wrapText="0" indent="5" justifyLastLine="0" shrinkToFit="0" readingOrder="0"/>
      <border diagonalUp="0" diagonalDown="0">
        <left style="thin">
          <color indexed="64"/>
        </left>
        <right/>
        <top style="thin">
          <color indexed="64"/>
        </top>
        <bottom style="thin">
          <color indexed="64"/>
        </bottom>
        <vertical/>
        <horizontal/>
      </border>
    </dxf>
    <dxf>
      <numFmt numFmtId="164" formatCode="_ [$₹-4009]\ * #,##0.00_ ;_ [$₹-4009]\ * \-#,##0.00_ ;_ [$₹-4009]\ * &quot;-&quot;??_ ;_ @_ "/>
      <alignment horizontal="left" vertical="center" textRotation="0" wrapText="0" indent="6"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left" vertical="bottom" textRotation="0" wrapText="0" indent="9"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left" vertical="center" textRotation="0" wrapText="0" indent="8"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left" vertical="center" textRotation="0" wrapText="0" indent="4"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left" vertical="bottom" textRotation="0" wrapText="0" indent="4"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left" vertical="bottom" textRotation="0" wrapText="0" indent="4"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left" vertical="bottom" textRotation="0" wrapText="1" indent="4"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alignment horizontal="left" vertical="center" textRotation="0" wrapText="0" indent="4"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rgb="FF7030A0"/>
        <name val="Times New Roman"/>
        <family val="1"/>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[Quantitative.xlsx]pivot!PivotTable4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pivot!$B$4:$B$5</c:f>
              <c:strCache>
                <c:ptCount val="1"/>
                <c:pt idx="0">
                  <c:v>Binder</c:v>
                </c:pt>
              </c:strCache>
            </c:strRef>
          </c:tx>
          <c:spPr>
            <a:solidFill>
              <a:schemeClr val="accent1"/>
            </a:solidFill>
            <a:ln>
              <a:noFill/>
            </a:ln>
            <a:effectLst/>
          </c:spPr>
          <c:invertIfNegative val="0"/>
          <c:cat>
            <c:strRef>
              <c:f>pivot!$A$6:$A$17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pivot!$B$6:$B$17</c:f>
              <c:numCache>
                <c:formatCode>General</c:formatCode>
                <c:ptCount val="11"/>
                <c:pt idx="0">
                  <c:v>139.72</c:v>
                </c:pt>
                <c:pt idx="1">
                  <c:v>1132.74</c:v>
                </c:pt>
                <c:pt idx="2">
                  <c:v>57.71</c:v>
                </c:pt>
                <c:pt idx="3">
                  <c:v>1933.95</c:v>
                </c:pt>
                <c:pt idx="4">
                  <c:v>858.76</c:v>
                </c:pt>
                <c:pt idx="5">
                  <c:v>999.49999999999989</c:v>
                </c:pt>
                <c:pt idx="6">
                  <c:v>251.72</c:v>
                </c:pt>
                <c:pt idx="7">
                  <c:v>1619.1899999999998</c:v>
                </c:pt>
                <c:pt idx="8">
                  <c:v>1305</c:v>
                </c:pt>
                <c:pt idx="9">
                  <c:v>139.92999999999998</c:v>
                </c:pt>
                <c:pt idx="10">
                  <c:v>1139.4299999999998</c:v>
                </c:pt>
              </c:numCache>
            </c:numRef>
          </c:val>
          <c:extLst>
            <c:ext xmlns:c16="http://schemas.microsoft.com/office/drawing/2014/chart" uri="{C3380CC4-5D6E-409C-BE32-E72D297353CC}">
              <c16:uniqueId val="{00000000-FA58-4B1D-AADA-5E15BF55834D}"/>
            </c:ext>
          </c:extLst>
        </c:ser>
        <c:ser>
          <c:idx val="1"/>
          <c:order val="1"/>
          <c:tx>
            <c:strRef>
              <c:f>pivot!$C$4:$C$5</c:f>
              <c:strCache>
                <c:ptCount val="1"/>
                <c:pt idx="0">
                  <c:v>Desk</c:v>
                </c:pt>
              </c:strCache>
            </c:strRef>
          </c:tx>
          <c:spPr>
            <a:solidFill>
              <a:schemeClr val="accent2"/>
            </a:solidFill>
            <a:ln>
              <a:noFill/>
            </a:ln>
            <a:effectLst/>
          </c:spPr>
          <c:invertIfNegative val="0"/>
          <c:cat>
            <c:strRef>
              <c:f>pivot!$A$6:$A$17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pivot!$C$6:$C$17</c:f>
              <c:numCache>
                <c:formatCode>General</c:formatCode>
                <c:ptCount val="11"/>
                <c:pt idx="5">
                  <c:v>625</c:v>
                </c:pt>
                <c:pt idx="8">
                  <c:v>250</c:v>
                </c:pt>
                <c:pt idx="9">
                  <c:v>825</c:v>
                </c:pt>
              </c:numCache>
            </c:numRef>
          </c:val>
          <c:extLst>
            <c:ext xmlns:c16="http://schemas.microsoft.com/office/drawing/2014/chart" uri="{C3380CC4-5D6E-409C-BE32-E72D297353CC}">
              <c16:uniqueId val="{00000005-FB79-45AB-BA29-98F0A01E07DC}"/>
            </c:ext>
          </c:extLst>
        </c:ser>
        <c:ser>
          <c:idx val="2"/>
          <c:order val="2"/>
          <c:tx>
            <c:strRef>
              <c:f>pivot!$D$4:$D$5</c:f>
              <c:strCache>
                <c:ptCount val="1"/>
                <c:pt idx="0">
                  <c:v>Pen</c:v>
                </c:pt>
              </c:strCache>
            </c:strRef>
          </c:tx>
          <c:spPr>
            <a:solidFill>
              <a:schemeClr val="accent3"/>
            </a:solidFill>
            <a:ln>
              <a:noFill/>
            </a:ln>
            <a:effectLst/>
          </c:spPr>
          <c:invertIfNegative val="0"/>
          <c:cat>
            <c:strRef>
              <c:f>pivot!$A$6:$A$17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pivot!$D$6:$D$17</c:f>
              <c:numCache>
                <c:formatCode>General</c:formatCode>
                <c:ptCount val="11"/>
                <c:pt idx="1">
                  <c:v>539.7299999999999</c:v>
                </c:pt>
                <c:pt idx="2">
                  <c:v>479.04</c:v>
                </c:pt>
                <c:pt idx="4">
                  <c:v>575.36</c:v>
                </c:pt>
                <c:pt idx="7">
                  <c:v>299.84999999999997</c:v>
                </c:pt>
                <c:pt idx="9">
                  <c:v>151.24</c:v>
                </c:pt>
              </c:numCache>
            </c:numRef>
          </c:val>
          <c:extLst>
            <c:ext xmlns:c16="http://schemas.microsoft.com/office/drawing/2014/chart" uri="{C3380CC4-5D6E-409C-BE32-E72D297353CC}">
              <c16:uniqueId val="{00000006-FB79-45AB-BA29-98F0A01E07DC}"/>
            </c:ext>
          </c:extLst>
        </c:ser>
        <c:ser>
          <c:idx val="3"/>
          <c:order val="3"/>
          <c:tx>
            <c:strRef>
              <c:f>pivot!$E$4:$E$5</c:f>
              <c:strCache>
                <c:ptCount val="1"/>
                <c:pt idx="0">
                  <c:v>Pen Set</c:v>
                </c:pt>
              </c:strCache>
            </c:strRef>
          </c:tx>
          <c:spPr>
            <a:solidFill>
              <a:schemeClr val="accent4"/>
            </a:solidFill>
            <a:ln>
              <a:noFill/>
            </a:ln>
            <a:effectLst/>
          </c:spPr>
          <c:invertIfNegative val="0"/>
          <c:cat>
            <c:strRef>
              <c:f>pivot!$A$6:$A$17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pivot!$E$6:$E$17</c:f>
              <c:numCache>
                <c:formatCode>General</c:formatCode>
                <c:ptCount val="11"/>
                <c:pt idx="3">
                  <c:v>249.5</c:v>
                </c:pt>
                <c:pt idx="4">
                  <c:v>565.22</c:v>
                </c:pt>
                <c:pt idx="5">
                  <c:v>1484.94</c:v>
                </c:pt>
                <c:pt idx="6">
                  <c:v>686.95</c:v>
                </c:pt>
                <c:pt idx="7">
                  <c:v>1183.26</c:v>
                </c:pt>
              </c:numCache>
            </c:numRef>
          </c:val>
          <c:extLst>
            <c:ext xmlns:c16="http://schemas.microsoft.com/office/drawing/2014/chart" uri="{C3380CC4-5D6E-409C-BE32-E72D297353CC}">
              <c16:uniqueId val="{00000007-FB79-45AB-BA29-98F0A01E07DC}"/>
            </c:ext>
          </c:extLst>
        </c:ser>
        <c:ser>
          <c:idx val="4"/>
          <c:order val="4"/>
          <c:tx>
            <c:strRef>
              <c:f>pivot!$F$4:$F$5</c:f>
              <c:strCache>
                <c:ptCount val="1"/>
                <c:pt idx="0">
                  <c:v>Pencil</c:v>
                </c:pt>
              </c:strCache>
            </c:strRef>
          </c:tx>
          <c:spPr>
            <a:solidFill>
              <a:schemeClr val="accent5"/>
            </a:solidFill>
            <a:ln>
              <a:noFill/>
            </a:ln>
            <a:effectLst/>
          </c:spPr>
          <c:invertIfNegative val="0"/>
          <c:cat>
            <c:strRef>
              <c:f>pivot!$A$6:$A$17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pivot!$F$6:$F$17</c:f>
              <c:numCache>
                <c:formatCode>General</c:formatCode>
                <c:ptCount val="11"/>
                <c:pt idx="0">
                  <c:v>298.64999999999998</c:v>
                </c:pt>
                <c:pt idx="1">
                  <c:v>77.400000000000006</c:v>
                </c:pt>
                <c:pt idx="3">
                  <c:v>628.74</c:v>
                </c:pt>
                <c:pt idx="4">
                  <c:v>363.70000000000005</c:v>
                </c:pt>
                <c:pt idx="6">
                  <c:v>449.1</c:v>
                </c:pt>
                <c:pt idx="8">
                  <c:v>86.43</c:v>
                </c:pt>
                <c:pt idx="9">
                  <c:v>167.44</c:v>
                </c:pt>
                <c:pt idx="10">
                  <c:v>63.68</c:v>
                </c:pt>
              </c:numCache>
            </c:numRef>
          </c:val>
          <c:extLst>
            <c:ext xmlns:c16="http://schemas.microsoft.com/office/drawing/2014/chart" uri="{C3380CC4-5D6E-409C-BE32-E72D297353CC}">
              <c16:uniqueId val="{00000008-FB79-45AB-BA29-98F0A01E07DC}"/>
            </c:ext>
          </c:extLst>
        </c:ser>
        <c:dLbls>
          <c:showLegendKey val="0"/>
          <c:showVal val="0"/>
          <c:showCatName val="0"/>
          <c:showSerName val="0"/>
          <c:showPercent val="0"/>
          <c:showBubbleSize val="0"/>
        </c:dLbls>
        <c:gapWidth val="219"/>
        <c:overlap val="-27"/>
        <c:axId val="317134336"/>
        <c:axId val="526349904"/>
      </c:barChart>
      <c:catAx>
        <c:axId val="31713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Representatives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349904"/>
        <c:crosses val="autoZero"/>
        <c:auto val="1"/>
        <c:lblAlgn val="ctr"/>
        <c:lblOffset val="100"/>
        <c:noMultiLvlLbl val="0"/>
      </c:catAx>
      <c:valAx>
        <c:axId val="52634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3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[Quantitative.xlsx]Excel 1!PivotTable2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latin typeface="Arial Black" panose="020B0A04020102020204" pitchFamily="34" charset="0"/>
              </a:rPr>
              <a:t>INHAND SALARY</a:t>
            </a:r>
          </a:p>
        </c:rich>
      </c:tx>
      <c:layout>
        <c:manualLayout>
          <c:xMode val="edge"/>
          <c:yMode val="edge"/>
          <c:x val="0.2807845581802274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pivotFmt>
      <c:pivotFmt>
        <c:idx val="11"/>
        <c:spPr>
          <a:solidFill>
            <a:schemeClr val="accent5"/>
          </a:solidFill>
          <a:ln>
            <a:noFill/>
          </a:ln>
          <a:effectLst/>
        </c:spPr>
      </c:pivotFmt>
      <c:pivotFmt>
        <c:idx val="12"/>
        <c:spPr>
          <a:solidFill>
            <a:schemeClr val="accent5"/>
          </a:solidFill>
          <a:ln>
            <a:noFill/>
          </a:ln>
          <a:effectLst/>
        </c:spPr>
      </c:pivotFmt>
      <c:pivotFmt>
        <c:idx val="13"/>
        <c:spPr>
          <a:solidFill>
            <a:schemeClr val="accent5"/>
          </a:solidFill>
          <a:ln>
            <a:noFill/>
          </a:ln>
          <a:effectLst/>
        </c:spPr>
      </c:pivotFmt>
      <c:pivotFmt>
        <c:idx val="14"/>
        <c:spPr>
          <a:solidFill>
            <a:schemeClr val="accent5"/>
          </a:solidFill>
          <a:ln>
            <a:noFill/>
          </a:ln>
          <a:effectLst/>
        </c:spPr>
      </c:pivotFmt>
      <c:pivotFmt>
        <c:idx val="15"/>
        <c:spPr>
          <a:solidFill>
            <a:schemeClr val="accent5"/>
          </a:solidFill>
          <a:ln>
            <a:noFill/>
          </a:ln>
          <a:effectLst/>
        </c:spPr>
      </c:pivotFmt>
      <c:pivotFmt>
        <c:idx val="16"/>
        <c:spPr>
          <a:solidFill>
            <a:schemeClr val="accent5"/>
          </a:solidFill>
          <a:ln>
            <a:noFill/>
          </a:ln>
          <a:effectLst/>
        </c:spPr>
      </c:pivotFmt>
      <c:pivotFmt>
        <c:idx val="17"/>
        <c:spPr>
          <a:solidFill>
            <a:schemeClr val="accent5"/>
          </a:solidFill>
          <a:ln>
            <a:noFill/>
          </a:ln>
          <a:effectLst/>
        </c:spPr>
      </c:pivotFmt>
      <c:pivotFmt>
        <c:idx val="18"/>
        <c:spPr>
          <a:solidFill>
            <a:schemeClr val="accent5"/>
          </a:solidFill>
          <a:ln>
            <a:noFill/>
          </a:ln>
          <a:effectLst/>
        </c:spPr>
      </c:pivotFmt>
      <c:pivotFmt>
        <c:idx val="19"/>
        <c:spPr>
          <a:solidFill>
            <a:schemeClr val="accent5"/>
          </a:solidFill>
          <a:ln>
            <a:noFill/>
          </a:ln>
          <a:effectLst/>
        </c:spPr>
      </c:pivotFmt>
      <c:pivotFmt>
        <c:idx val="20"/>
        <c:spPr>
          <a:solidFill>
            <a:schemeClr val="accent5"/>
          </a:solidFill>
          <a:ln>
            <a:noFill/>
          </a:ln>
          <a:effectLst/>
        </c:spPr>
      </c:pivotFmt>
      <c:pivotFmt>
        <c:idx val="21"/>
        <c:spPr>
          <a:solidFill>
            <a:schemeClr val="accent5"/>
          </a:solidFill>
          <a:ln>
            <a:noFill/>
          </a:ln>
          <a:effectLst/>
        </c:spPr>
      </c:pivotFmt>
      <c:pivotFmt>
        <c:idx val="22"/>
        <c:spPr>
          <a:solidFill>
            <a:schemeClr val="accent5"/>
          </a:solidFill>
          <a:ln>
            <a:noFill/>
          </a:ln>
          <a:effectLst/>
        </c:spPr>
      </c:pivotFmt>
      <c:pivotFmt>
        <c:idx val="23"/>
        <c:spPr>
          <a:solidFill>
            <a:schemeClr val="accent5"/>
          </a:solidFill>
          <a:ln>
            <a:noFill/>
          </a:ln>
          <a:effectLst/>
        </c:spPr>
      </c:pivotFmt>
    </c:pivotFmts>
    <c:plotArea>
      <c:layout/>
      <c:barChart>
        <c:barDir val="bar"/>
        <c:grouping val="stacked"/>
        <c:varyColors val="0"/>
        <c:ser>
          <c:idx val="0"/>
          <c:order val="0"/>
          <c:tx>
            <c:strRef>
              <c:f>'Excel 1'!$H$117</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F-9A83-46C0-968B-3EF0ECDBADC8}"/>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E-9A83-46C0-968B-3EF0ECDBADC8}"/>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D-9A83-46C0-968B-3EF0ECDBADC8}"/>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C-9A83-46C0-968B-3EF0ECDBADC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B-9A83-46C0-968B-3EF0ECDBADC8}"/>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A-9A83-46C0-968B-3EF0ECDBADC8}"/>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9-9A83-46C0-968B-3EF0ECDBADC8}"/>
              </c:ext>
            </c:extLst>
          </c:dPt>
          <c:dPt>
            <c:idx val="7"/>
            <c:invertIfNegative val="0"/>
            <c:bubble3D val="0"/>
            <c:spPr>
              <a:solidFill>
                <a:schemeClr val="accent5"/>
              </a:solidFill>
              <a:ln>
                <a:noFill/>
              </a:ln>
              <a:effectLst/>
            </c:spPr>
            <c:extLst>
              <c:ext xmlns:c16="http://schemas.microsoft.com/office/drawing/2014/chart" uri="{C3380CC4-5D6E-409C-BE32-E72D297353CC}">
                <c16:uniqueId val="{00000008-9A83-46C0-968B-3EF0ECDBADC8}"/>
              </c:ext>
            </c:extLst>
          </c:dPt>
          <c:dPt>
            <c:idx val="8"/>
            <c:invertIfNegative val="0"/>
            <c:bubble3D val="0"/>
            <c:spPr>
              <a:solidFill>
                <a:schemeClr val="accent5"/>
              </a:solidFill>
              <a:ln>
                <a:noFill/>
              </a:ln>
              <a:effectLst/>
            </c:spPr>
            <c:extLst>
              <c:ext xmlns:c16="http://schemas.microsoft.com/office/drawing/2014/chart" uri="{C3380CC4-5D6E-409C-BE32-E72D297353CC}">
                <c16:uniqueId val="{00000007-9A83-46C0-968B-3EF0ECDBADC8}"/>
              </c:ext>
            </c:extLst>
          </c:dPt>
          <c:dPt>
            <c:idx val="9"/>
            <c:invertIfNegative val="0"/>
            <c:bubble3D val="0"/>
            <c:spPr>
              <a:solidFill>
                <a:schemeClr val="accent5"/>
              </a:solidFill>
              <a:ln>
                <a:noFill/>
              </a:ln>
              <a:effectLst/>
            </c:spPr>
            <c:extLst>
              <c:ext xmlns:c16="http://schemas.microsoft.com/office/drawing/2014/chart" uri="{C3380CC4-5D6E-409C-BE32-E72D297353CC}">
                <c16:uniqueId val="{00000006-9A83-46C0-968B-3EF0ECDBADC8}"/>
              </c:ext>
            </c:extLst>
          </c:dPt>
          <c:dPt>
            <c:idx val="10"/>
            <c:invertIfNegative val="0"/>
            <c:bubble3D val="0"/>
            <c:spPr>
              <a:solidFill>
                <a:schemeClr val="accent5"/>
              </a:solidFill>
              <a:ln>
                <a:noFill/>
              </a:ln>
              <a:effectLst/>
            </c:spPr>
            <c:extLst>
              <c:ext xmlns:c16="http://schemas.microsoft.com/office/drawing/2014/chart" uri="{C3380CC4-5D6E-409C-BE32-E72D297353CC}">
                <c16:uniqueId val="{00000005-9A83-46C0-968B-3EF0ECDBADC8}"/>
              </c:ext>
            </c:extLst>
          </c:dPt>
          <c:dPt>
            <c:idx val="11"/>
            <c:invertIfNegative val="0"/>
            <c:bubble3D val="0"/>
            <c:spPr>
              <a:solidFill>
                <a:schemeClr val="accent5"/>
              </a:solidFill>
              <a:ln>
                <a:noFill/>
              </a:ln>
              <a:effectLst/>
            </c:spPr>
            <c:extLst>
              <c:ext xmlns:c16="http://schemas.microsoft.com/office/drawing/2014/chart" uri="{C3380CC4-5D6E-409C-BE32-E72D297353CC}">
                <c16:uniqueId val="{00000004-9A83-46C0-968B-3EF0ECDBADC8}"/>
              </c:ext>
            </c:extLst>
          </c:dPt>
          <c:dPt>
            <c:idx val="12"/>
            <c:invertIfNegative val="0"/>
            <c:bubble3D val="0"/>
            <c:spPr>
              <a:solidFill>
                <a:schemeClr val="accent5"/>
              </a:solidFill>
              <a:ln>
                <a:noFill/>
              </a:ln>
              <a:effectLst/>
            </c:spPr>
            <c:extLst>
              <c:ext xmlns:c16="http://schemas.microsoft.com/office/drawing/2014/chart" uri="{C3380CC4-5D6E-409C-BE32-E72D297353CC}">
                <c16:uniqueId val="{00000003-9A83-46C0-968B-3EF0ECDBADC8}"/>
              </c:ext>
            </c:extLst>
          </c:dPt>
          <c:dPt>
            <c:idx val="13"/>
            <c:invertIfNegative val="0"/>
            <c:bubble3D val="0"/>
            <c:spPr>
              <a:solidFill>
                <a:schemeClr val="accent5"/>
              </a:solidFill>
              <a:ln>
                <a:noFill/>
              </a:ln>
              <a:effectLst/>
            </c:spPr>
            <c:extLst>
              <c:ext xmlns:c16="http://schemas.microsoft.com/office/drawing/2014/chart" uri="{C3380CC4-5D6E-409C-BE32-E72D297353CC}">
                <c16:uniqueId val="{00000002-9A83-46C0-968B-3EF0ECDBADC8}"/>
              </c:ext>
            </c:extLst>
          </c:dPt>
          <c:dPt>
            <c:idx val="14"/>
            <c:invertIfNegative val="0"/>
            <c:bubble3D val="0"/>
            <c:spPr>
              <a:solidFill>
                <a:schemeClr val="accent5"/>
              </a:solidFill>
              <a:ln>
                <a:noFill/>
              </a:ln>
              <a:effectLst/>
            </c:spPr>
            <c:extLst>
              <c:ext xmlns:c16="http://schemas.microsoft.com/office/drawing/2014/chart" uri="{C3380CC4-5D6E-409C-BE32-E72D297353CC}">
                <c16:uniqueId val="{00000001-9A83-46C0-968B-3EF0ECDBADC8}"/>
              </c:ext>
            </c:extLst>
          </c:dPt>
          <c:dPt>
            <c:idx val="15"/>
            <c:invertIfNegative val="0"/>
            <c:bubble3D val="0"/>
            <c:spPr>
              <a:solidFill>
                <a:schemeClr val="accent5"/>
              </a:solidFill>
              <a:ln>
                <a:noFill/>
              </a:ln>
              <a:effectLst/>
            </c:spPr>
            <c:extLst>
              <c:ext xmlns:c16="http://schemas.microsoft.com/office/drawing/2014/chart" uri="{C3380CC4-5D6E-409C-BE32-E72D297353CC}">
                <c16:uniqueId val="{00000000-9A83-46C0-968B-3EF0ECDBADC8}"/>
              </c:ext>
            </c:extLst>
          </c:dPt>
          <c:cat>
            <c:strRef>
              <c:f>'Excel 1'!$G$118:$G$134</c:f>
              <c:strCache>
                <c:ptCount val="16"/>
                <c:pt idx="0">
                  <c:v>Ajay Kumar</c:v>
                </c:pt>
                <c:pt idx="1">
                  <c:v>Dipanshu </c:v>
                </c:pt>
                <c:pt idx="2">
                  <c:v>Kamal Kumar</c:v>
                </c:pt>
                <c:pt idx="3">
                  <c:v>Kulwant Singh</c:v>
                </c:pt>
                <c:pt idx="4">
                  <c:v>Laxman Bhatt</c:v>
                </c:pt>
                <c:pt idx="5">
                  <c:v>prakash kumar</c:v>
                </c:pt>
                <c:pt idx="6">
                  <c:v>Prakhar</c:v>
                </c:pt>
                <c:pt idx="7">
                  <c:v>Ram Singh</c:v>
                </c:pt>
                <c:pt idx="8">
                  <c:v>Ravindra</c:v>
                </c:pt>
                <c:pt idx="9">
                  <c:v>Sanjay Kumar</c:v>
                </c:pt>
                <c:pt idx="10">
                  <c:v>Sanyam pokhriyal</c:v>
                </c:pt>
                <c:pt idx="11">
                  <c:v>Shubham Srivastav</c:v>
                </c:pt>
                <c:pt idx="12">
                  <c:v>Shyam Kumar</c:v>
                </c:pt>
                <c:pt idx="13">
                  <c:v>Somdev Yadav</c:v>
                </c:pt>
                <c:pt idx="14">
                  <c:v>Utkarsh Nishad</c:v>
                </c:pt>
                <c:pt idx="15">
                  <c:v>Vijay Ram Bhatt</c:v>
                </c:pt>
              </c:strCache>
            </c:strRef>
          </c:cat>
          <c:val>
            <c:numRef>
              <c:f>'Excel 1'!$H$118:$H$134</c:f>
              <c:numCache>
                <c:formatCode>General</c:formatCode>
                <c:ptCount val="16"/>
                <c:pt idx="0">
                  <c:v>52700</c:v>
                </c:pt>
                <c:pt idx="1">
                  <c:v>62800</c:v>
                </c:pt>
                <c:pt idx="2">
                  <c:v>95700</c:v>
                </c:pt>
                <c:pt idx="3">
                  <c:v>62800</c:v>
                </c:pt>
                <c:pt idx="4">
                  <c:v>125700</c:v>
                </c:pt>
                <c:pt idx="5">
                  <c:v>100000</c:v>
                </c:pt>
                <c:pt idx="6">
                  <c:v>110500</c:v>
                </c:pt>
                <c:pt idx="7">
                  <c:v>42500</c:v>
                </c:pt>
                <c:pt idx="8">
                  <c:v>55800</c:v>
                </c:pt>
                <c:pt idx="9">
                  <c:v>32500</c:v>
                </c:pt>
                <c:pt idx="10">
                  <c:v>45300</c:v>
                </c:pt>
                <c:pt idx="11">
                  <c:v>3500</c:v>
                </c:pt>
                <c:pt idx="12">
                  <c:v>85200</c:v>
                </c:pt>
                <c:pt idx="13">
                  <c:v>95800</c:v>
                </c:pt>
                <c:pt idx="14">
                  <c:v>48500</c:v>
                </c:pt>
                <c:pt idx="15">
                  <c:v>22800</c:v>
                </c:pt>
              </c:numCache>
            </c:numRef>
          </c:val>
          <c:extLst>
            <c:ext xmlns:c16="http://schemas.microsoft.com/office/drawing/2014/chart" uri="{C3380CC4-5D6E-409C-BE32-E72D297353CC}">
              <c16:uniqueId val="{00000002-EDCD-468E-A5B5-48E1D7FBE384}"/>
            </c:ext>
          </c:extLst>
        </c:ser>
        <c:dLbls>
          <c:dLblPos val="ctr"/>
          <c:showLegendKey val="0"/>
          <c:showVal val="0"/>
          <c:showCatName val="0"/>
          <c:showSerName val="0"/>
          <c:showPercent val="0"/>
          <c:showBubbleSize val="0"/>
        </c:dLbls>
        <c:gapWidth val="150"/>
        <c:overlap val="100"/>
        <c:axId val="1159970575"/>
        <c:axId val="1159973455"/>
      </c:barChart>
      <c:catAx>
        <c:axId val="115997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9973455"/>
        <c:crosses val="autoZero"/>
        <c:auto val="1"/>
        <c:lblAlgn val="ctr"/>
        <c:lblOffset val="100"/>
        <c:noMultiLvlLbl val="0"/>
      </c:catAx>
      <c:valAx>
        <c:axId val="1159973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997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12700" cap="flat" cmpd="sng" algn="ctr">
      <a:solidFill>
        <a:schemeClr val="accent2"/>
      </a:solidFill>
      <a:prstDash val="solid"/>
      <a:miter lim="800000"/>
    </a:ln>
    <a:effectLst>
      <a:glow rad="63500">
        <a:schemeClr val="accent1">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[Quantitative.xlsx]Excel 1!PivotTable2</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solidFill>
                  <a:sysClr val="windowText" lastClr="000000"/>
                </a:solidFill>
                <a:latin typeface="Arial Black" panose="020B0A04020102020204" pitchFamily="34" charset="0"/>
              </a:rPr>
              <a:t>Base Salary of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ofPieChart>
        <c:ofPieType val="bar"/>
        <c:varyColors val="1"/>
        <c:ser>
          <c:idx val="0"/>
          <c:order val="0"/>
          <c:tx>
            <c:strRef>
              <c:f>'Excel 1'!$H$117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28E-4BCF-BC6E-9E6AB0F39AF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28E-4BCF-BC6E-9E6AB0F39AF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28E-4BCF-BC6E-9E6AB0F39AF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28E-4BCF-BC6E-9E6AB0F39AF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28E-4BCF-BC6E-9E6AB0F39AF9}"/>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28E-4BCF-BC6E-9E6AB0F39AF9}"/>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C28E-4BCF-BC6E-9E6AB0F39AF9}"/>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C28E-4BCF-BC6E-9E6AB0F39AF9}"/>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C28E-4BCF-BC6E-9E6AB0F39AF9}"/>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C28E-4BCF-BC6E-9E6AB0F39AF9}"/>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C28E-4BCF-BC6E-9E6AB0F39AF9}"/>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C28E-4BCF-BC6E-9E6AB0F39AF9}"/>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C28E-4BCF-BC6E-9E6AB0F39AF9}"/>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C28E-4BCF-BC6E-9E6AB0F39AF9}"/>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C28E-4BCF-BC6E-9E6AB0F39AF9}"/>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C28E-4BCF-BC6E-9E6AB0F39AF9}"/>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C28E-4BCF-BC6E-9E6AB0F39A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'Excel 1'!$G$118:$G$134</c:f>
              <c:strCache>
                <c:ptCount val="16"/>
                <c:pt idx="0">
                  <c:v>Ajay Kumar</c:v>
                </c:pt>
                <c:pt idx="1">
                  <c:v>Dipanshu </c:v>
                </c:pt>
                <c:pt idx="2">
                  <c:v>Kamal Kumar</c:v>
                </c:pt>
                <c:pt idx="3">
                  <c:v>Kulwant Singh</c:v>
                </c:pt>
                <c:pt idx="4">
                  <c:v>Laxman Bhatt</c:v>
                </c:pt>
                <c:pt idx="5">
                  <c:v>prakash kumar</c:v>
                </c:pt>
                <c:pt idx="6">
                  <c:v>Prakhar</c:v>
                </c:pt>
                <c:pt idx="7">
                  <c:v>Ram Singh</c:v>
                </c:pt>
                <c:pt idx="8">
                  <c:v>Ravindra</c:v>
                </c:pt>
                <c:pt idx="9">
                  <c:v>Sanjay Kumar</c:v>
                </c:pt>
                <c:pt idx="10">
                  <c:v>Sanyam pokhriyal</c:v>
                </c:pt>
                <c:pt idx="11">
                  <c:v>Shubham Srivastav</c:v>
                </c:pt>
                <c:pt idx="12">
                  <c:v>Shyam Kumar</c:v>
                </c:pt>
                <c:pt idx="13">
                  <c:v>Somdev Yadav</c:v>
                </c:pt>
                <c:pt idx="14">
                  <c:v>Utkarsh Nishad</c:v>
                </c:pt>
                <c:pt idx="15">
                  <c:v>Vijay Ram Bhatt</c:v>
                </c:pt>
              </c:strCache>
            </c:strRef>
          </c:cat>
          <c:val>
            <c:numRef>
              <c:f>'Excel 1'!$H$118:$H$134</c:f>
              <c:numCache>
                <c:formatCode>General</c:formatCode>
                <c:ptCount val="16"/>
                <c:pt idx="0">
                  <c:v>52700</c:v>
                </c:pt>
                <c:pt idx="1">
                  <c:v>62800</c:v>
                </c:pt>
                <c:pt idx="2">
                  <c:v>95700</c:v>
                </c:pt>
                <c:pt idx="3">
                  <c:v>62800</c:v>
                </c:pt>
                <c:pt idx="4">
                  <c:v>125700</c:v>
                </c:pt>
                <c:pt idx="5">
                  <c:v>100000</c:v>
                </c:pt>
                <c:pt idx="6">
                  <c:v>110500</c:v>
                </c:pt>
                <c:pt idx="7">
                  <c:v>42500</c:v>
                </c:pt>
                <c:pt idx="8">
                  <c:v>55800</c:v>
                </c:pt>
                <c:pt idx="9">
                  <c:v>32500</c:v>
                </c:pt>
                <c:pt idx="10">
                  <c:v>45300</c:v>
                </c:pt>
                <c:pt idx="11">
                  <c:v>3500</c:v>
                </c:pt>
                <c:pt idx="12">
                  <c:v>85200</c:v>
                </c:pt>
                <c:pt idx="13">
                  <c:v>95800</c:v>
                </c:pt>
                <c:pt idx="14">
                  <c:v>48500</c:v>
                </c:pt>
                <c:pt idx="15">
                  <c:v>22800</c:v>
                </c:pt>
              </c:numCache>
            </c:numRef>
          </c:val>
          <c:extLst>
            <c:ext xmlns:c16="http://schemas.microsoft.com/office/drawing/2014/chart" uri="{C3380CC4-5D6E-409C-BE32-E72D297353CC}">
              <c16:uniqueId val="{00000002-67BB-4791-99AC-623344E81D45}"/>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legend>
      <c:legendPos val="r"/>
      <c:overlay val="0"/>
      <c:spPr>
        <a:solidFill>
          <a:schemeClr val="bg1">
            <a:lumMod val="95000"/>
          </a:schemeClr>
        </a:solidFill>
        <a:ln w="12700" cap="flat" cmpd="sng" algn="ctr">
          <a:solidFill>
            <a:schemeClr val="accent2"/>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dk1">
          <a:lumMod val="15000"/>
          <a:lumOff val="85000"/>
        </a:schemeClr>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[Quantitative.xlsx]Sheet1!PivotTable2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solidFill>
                  <a:sysClr val="windowText" lastClr="000000"/>
                </a:solidFill>
                <a:latin typeface="Arial Black" panose="020B0A04020102020204" pitchFamily="34" charset="0"/>
              </a:rPr>
              <a:t>HOUSE</a:t>
            </a:r>
            <a:r>
              <a:rPr lang="en-US" sz="1200" baseline="0">
                <a:solidFill>
                  <a:sysClr val="windowText" lastClr="000000"/>
                </a:solidFill>
                <a:latin typeface="Arial Black" panose="020B0A04020102020204" pitchFamily="34" charset="0"/>
              </a:rPr>
              <a:t> RENT ALLOWANCE</a:t>
            </a:r>
          </a:p>
          <a:p>
            <a:pPr>
              <a:defRPr/>
            </a:pPr>
            <a:r>
              <a:rPr lang="en-US" sz="1200" baseline="0">
                <a:solidFill>
                  <a:sysClr val="windowText" lastClr="000000"/>
                </a:solidFill>
                <a:latin typeface="Arial Black" panose="020B0A04020102020204" pitchFamily="34" charset="0"/>
              </a:rPr>
              <a:t>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Sheet1!$P$11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Sheet1!$O$12:$O$30</c:f>
              <c:strCache>
                <c:ptCount val="18"/>
                <c:pt idx="0">
                  <c:v>Ajay Kumar</c:v>
                </c:pt>
                <c:pt idx="1">
                  <c:v>Dipanshu </c:v>
                </c:pt>
                <c:pt idx="2">
                  <c:v>Kamal Kumar</c:v>
                </c:pt>
                <c:pt idx="3">
                  <c:v>Kulwant Singh</c:v>
                </c:pt>
                <c:pt idx="4">
                  <c:v>Laxman Bhatt</c:v>
                </c:pt>
                <c:pt idx="5">
                  <c:v>Prakash kumar</c:v>
                </c:pt>
                <c:pt idx="6">
                  <c:v>Prakhar</c:v>
                </c:pt>
                <c:pt idx="7">
                  <c:v>Rajeev kumar</c:v>
                </c:pt>
                <c:pt idx="8">
                  <c:v>Ram Singh</c:v>
                </c:pt>
                <c:pt idx="9">
                  <c:v>Ravindra</c:v>
                </c:pt>
                <c:pt idx="10">
                  <c:v>Sanjay Kumar</c:v>
                </c:pt>
                <c:pt idx="11">
                  <c:v>Sanyam pokhriyal</c:v>
                </c:pt>
                <c:pt idx="12">
                  <c:v>Shubham Srivastav</c:v>
                </c:pt>
                <c:pt idx="13">
                  <c:v>Shyam Kumar</c:v>
                </c:pt>
                <c:pt idx="14">
                  <c:v>Somdev Yadav</c:v>
                </c:pt>
                <c:pt idx="15">
                  <c:v>Utkarsh Nishad</c:v>
                </c:pt>
                <c:pt idx="16">
                  <c:v>Vijay Ram Bhatt</c:v>
                </c:pt>
                <c:pt idx="17">
                  <c:v>(blank)</c:v>
                </c:pt>
              </c:strCache>
            </c:strRef>
          </c:cat>
          <c:val>
            <c:numRef>
              <c:f>Sheet1!$P$12:$P$30</c:f>
              <c:numCache>
                <c:formatCode>General</c:formatCode>
                <c:ptCount val="18"/>
                <c:pt idx="0">
                  <c:v>3689</c:v>
                </c:pt>
                <c:pt idx="1">
                  <c:v>4396</c:v>
                </c:pt>
                <c:pt idx="2">
                  <c:v>6699</c:v>
                </c:pt>
                <c:pt idx="3">
                  <c:v>4396</c:v>
                </c:pt>
                <c:pt idx="4">
                  <c:v>8799</c:v>
                </c:pt>
                <c:pt idx="5">
                  <c:v>5285</c:v>
                </c:pt>
                <c:pt idx="6">
                  <c:v>7735</c:v>
                </c:pt>
                <c:pt idx="7">
                  <c:v>1715</c:v>
                </c:pt>
                <c:pt idx="8">
                  <c:v>2975</c:v>
                </c:pt>
                <c:pt idx="9">
                  <c:v>3906</c:v>
                </c:pt>
                <c:pt idx="10">
                  <c:v>2275</c:v>
                </c:pt>
                <c:pt idx="11">
                  <c:v>3171</c:v>
                </c:pt>
                <c:pt idx="12">
                  <c:v>245</c:v>
                </c:pt>
                <c:pt idx="13">
                  <c:v>5964</c:v>
                </c:pt>
                <c:pt idx="14">
                  <c:v>6706</c:v>
                </c:pt>
                <c:pt idx="15">
                  <c:v>3395</c:v>
                </c:pt>
                <c:pt idx="16">
                  <c:v>1596</c:v>
                </c:pt>
              </c:numCache>
            </c:numRef>
          </c:val>
          <c:extLst>
            <c:ext xmlns:c16="http://schemas.microsoft.com/office/drawing/2014/chart" uri="{C3380CC4-5D6E-409C-BE32-E72D297353CC}">
              <c16:uniqueId val="{00000003-6B87-4271-93FB-852A01BD990A}"/>
            </c:ext>
          </c:extLst>
        </c:ser>
        <c:dLbls>
          <c:dLblPos val="outEnd"/>
          <c:showLegendKey val="0"/>
          <c:showVal val="1"/>
          <c:showCatName val="0"/>
          <c:showSerName val="0"/>
          <c:showPercent val="0"/>
          <c:showBubbleSize val="0"/>
        </c:dLbls>
        <c:gapWidth val="100"/>
        <c:axId val="821892559"/>
        <c:axId val="821893519"/>
      </c:barChart>
      <c:catAx>
        <c:axId val="8218925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1893519"/>
        <c:crosses val="autoZero"/>
        <c:auto val="1"/>
        <c:lblAlgn val="ctr"/>
        <c:lblOffset val="100"/>
        <c:noMultiLvlLbl val="0"/>
      </c:catAx>
      <c:valAx>
        <c:axId val="82189351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189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2">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[Quantitative.xlsx]Header!PivotTable1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1">
                <a:solidFill>
                  <a:sysClr val="windowText" lastClr="000000"/>
                </a:solidFill>
                <a:latin typeface="Arial Black" panose="020B0A04020102020204" pitchFamily="34" charset="0"/>
              </a:rPr>
              <a:t>Dearness&amp;Travel </a:t>
            </a:r>
          </a:p>
          <a:p>
            <a:pPr>
              <a:defRPr/>
            </a:pPr>
            <a:r>
              <a:rPr lang="en-IN" sz="1200" b="1">
                <a:solidFill>
                  <a:sysClr val="windowText" lastClr="000000"/>
                </a:solidFill>
                <a:latin typeface="Arial Black" panose="020B0A04020102020204" pitchFamily="34" charset="0"/>
              </a:rPr>
              <a:t>Allowances</a:t>
            </a:r>
          </a:p>
        </c:rich>
      </c:tx>
      <c:layout>
        <c:manualLayout>
          <c:xMode val="edge"/>
          <c:yMode val="edge"/>
          <c:x val="0.41747922134733151"/>
          <c:y val="8.1291921843102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s>
    <c:plotArea>
      <c:layout/>
      <c:ofPieChart>
        <c:ofPieType val="bar"/>
        <c:varyColors val="1"/>
        <c:ser>
          <c:idx val="0"/>
          <c:order val="0"/>
          <c:tx>
            <c:strRef>
              <c:f>Header!$N$6</c:f>
              <c:strCache>
                <c:ptCount val="1"/>
                <c:pt idx="0">
                  <c:v>Sum of TA3%</c:v>
                </c:pt>
              </c:strCache>
            </c:strRef>
          </c:tx>
          <c:dPt>
            <c:idx val="0"/>
            <c:bubble3D val="0"/>
            <c:spPr>
              <a:solidFill>
                <a:schemeClr val="accent1"/>
              </a:solidFill>
              <a:ln>
                <a:noFill/>
              </a:ln>
              <a:effectLst/>
            </c:spPr>
            <c:extLst>
              <c:ext xmlns:c16="http://schemas.microsoft.com/office/drawing/2014/chart" uri="{C3380CC4-5D6E-409C-BE32-E72D297353CC}">
                <c16:uniqueId val="{00000001-6A0F-44F0-AF35-532842336D8A}"/>
              </c:ext>
            </c:extLst>
          </c:dPt>
          <c:dPt>
            <c:idx val="1"/>
            <c:bubble3D val="0"/>
            <c:spPr>
              <a:solidFill>
                <a:schemeClr val="accent2"/>
              </a:solidFill>
              <a:ln>
                <a:noFill/>
              </a:ln>
              <a:effectLst/>
            </c:spPr>
            <c:extLst>
              <c:ext xmlns:c16="http://schemas.microsoft.com/office/drawing/2014/chart" uri="{C3380CC4-5D6E-409C-BE32-E72D297353CC}">
                <c16:uniqueId val="{00000003-6A0F-44F0-AF35-532842336D8A}"/>
              </c:ext>
            </c:extLst>
          </c:dPt>
          <c:dPt>
            <c:idx val="2"/>
            <c:bubble3D val="0"/>
            <c:spPr>
              <a:solidFill>
                <a:schemeClr val="accent3"/>
              </a:solidFill>
              <a:ln>
                <a:noFill/>
              </a:ln>
              <a:effectLst/>
            </c:spPr>
            <c:extLst>
              <c:ext xmlns:c16="http://schemas.microsoft.com/office/drawing/2014/chart" uri="{C3380CC4-5D6E-409C-BE32-E72D297353CC}">
                <c16:uniqueId val="{00000005-6A0F-44F0-AF35-532842336D8A}"/>
              </c:ext>
            </c:extLst>
          </c:dPt>
          <c:dPt>
            <c:idx val="3"/>
            <c:bubble3D val="0"/>
            <c:spPr>
              <a:solidFill>
                <a:schemeClr val="accent4"/>
              </a:solidFill>
              <a:ln>
                <a:noFill/>
              </a:ln>
              <a:effectLst/>
            </c:spPr>
            <c:extLst>
              <c:ext xmlns:c16="http://schemas.microsoft.com/office/drawing/2014/chart" uri="{C3380CC4-5D6E-409C-BE32-E72D297353CC}">
                <c16:uniqueId val="{00000007-6A0F-44F0-AF35-532842336D8A}"/>
              </c:ext>
            </c:extLst>
          </c:dPt>
          <c:dPt>
            <c:idx val="4"/>
            <c:bubble3D val="0"/>
            <c:spPr>
              <a:solidFill>
                <a:schemeClr val="accent5"/>
              </a:solidFill>
              <a:ln>
                <a:noFill/>
              </a:ln>
              <a:effectLst/>
            </c:spPr>
            <c:extLst>
              <c:ext xmlns:c16="http://schemas.microsoft.com/office/drawing/2014/chart" uri="{C3380CC4-5D6E-409C-BE32-E72D297353CC}">
                <c16:uniqueId val="{00000009-6A0F-44F0-AF35-532842336D8A}"/>
              </c:ext>
            </c:extLst>
          </c:dPt>
          <c:dPt>
            <c:idx val="5"/>
            <c:bubble3D val="0"/>
            <c:spPr>
              <a:solidFill>
                <a:schemeClr val="accent6"/>
              </a:solidFill>
              <a:ln>
                <a:noFill/>
              </a:ln>
              <a:effectLst/>
            </c:spPr>
            <c:extLst>
              <c:ext xmlns:c16="http://schemas.microsoft.com/office/drawing/2014/chart" uri="{C3380CC4-5D6E-409C-BE32-E72D297353CC}">
                <c16:uniqueId val="{0000000B-6A0F-44F0-AF35-532842336D8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A0F-44F0-AF35-532842336D8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A0F-44F0-AF35-532842336D8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A0F-44F0-AF35-532842336D8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A0F-44F0-AF35-532842336D8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6A0F-44F0-AF35-532842336D8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6A0F-44F0-AF35-532842336D8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6A0F-44F0-AF35-532842336D8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6A0F-44F0-AF35-532842336D8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6A0F-44F0-AF35-532842336D8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6A0F-44F0-AF35-532842336D8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6A0F-44F0-AF35-532842336D8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6A0F-44F0-AF35-532842336D8A}"/>
              </c:ext>
            </c:extLst>
          </c:dPt>
          <c:cat>
            <c:strRef>
              <c:f>Header!$M$7:$M$24</c:f>
              <c:strCache>
                <c:ptCount val="17"/>
                <c:pt idx="0">
                  <c:v>Ajay Kumar</c:v>
                </c:pt>
                <c:pt idx="1">
                  <c:v>Dipanshu </c:v>
                </c:pt>
                <c:pt idx="2">
                  <c:v>Kamal Kumar</c:v>
                </c:pt>
                <c:pt idx="3">
                  <c:v>Kulwant Singh</c:v>
                </c:pt>
                <c:pt idx="4">
                  <c:v>Laxman Bhatt</c:v>
                </c:pt>
                <c:pt idx="5">
                  <c:v>prakash kumar</c:v>
                </c:pt>
                <c:pt idx="6">
                  <c:v>Prakhar</c:v>
                </c:pt>
                <c:pt idx="7">
                  <c:v>Ram Singh</c:v>
                </c:pt>
                <c:pt idx="8">
                  <c:v>Ravindra</c:v>
                </c:pt>
                <c:pt idx="9">
                  <c:v>Sanjay Kumar</c:v>
                </c:pt>
                <c:pt idx="10">
                  <c:v>Sanyam pokhriyal</c:v>
                </c:pt>
                <c:pt idx="11">
                  <c:v>Shubham Srivastav</c:v>
                </c:pt>
                <c:pt idx="12">
                  <c:v>Shyam Kumar</c:v>
                </c:pt>
                <c:pt idx="13">
                  <c:v>Somdev Yadav</c:v>
                </c:pt>
                <c:pt idx="14">
                  <c:v>Utkarsh Nishad</c:v>
                </c:pt>
                <c:pt idx="15">
                  <c:v>Vijay Ram Bhatt</c:v>
                </c:pt>
                <c:pt idx="16">
                  <c:v>(blank)</c:v>
                </c:pt>
              </c:strCache>
            </c:strRef>
          </c:cat>
          <c:val>
            <c:numRef>
              <c:f>Header!$N$7:$N$24</c:f>
              <c:numCache>
                <c:formatCode>General</c:formatCode>
                <c:ptCount val="17"/>
                <c:pt idx="0">
                  <c:v>1581</c:v>
                </c:pt>
                <c:pt idx="1">
                  <c:v>1884</c:v>
                </c:pt>
                <c:pt idx="2">
                  <c:v>2871</c:v>
                </c:pt>
                <c:pt idx="3">
                  <c:v>1884</c:v>
                </c:pt>
                <c:pt idx="4">
                  <c:v>3771</c:v>
                </c:pt>
                <c:pt idx="5">
                  <c:v>3000</c:v>
                </c:pt>
                <c:pt idx="6">
                  <c:v>3315</c:v>
                </c:pt>
                <c:pt idx="7">
                  <c:v>1275</c:v>
                </c:pt>
                <c:pt idx="8">
                  <c:v>1674</c:v>
                </c:pt>
                <c:pt idx="9">
                  <c:v>975</c:v>
                </c:pt>
                <c:pt idx="10">
                  <c:v>1359</c:v>
                </c:pt>
                <c:pt idx="11">
                  <c:v>105</c:v>
                </c:pt>
                <c:pt idx="12">
                  <c:v>2556</c:v>
                </c:pt>
                <c:pt idx="13">
                  <c:v>2874</c:v>
                </c:pt>
                <c:pt idx="14">
                  <c:v>1455</c:v>
                </c:pt>
                <c:pt idx="15">
                  <c:v>684</c:v>
                </c:pt>
              </c:numCache>
            </c:numRef>
          </c:val>
          <c:extLst>
            <c:ext xmlns:c16="http://schemas.microsoft.com/office/drawing/2014/chart" uri="{C3380CC4-5D6E-409C-BE32-E72D297353CC}">
              <c16:uniqueId val="{00000000-2ED9-4CA0-860D-12C2B327E953}"/>
            </c:ext>
          </c:extLst>
        </c:ser>
        <c:ser>
          <c:idx val="1"/>
          <c:order val="1"/>
          <c:tx>
            <c:strRef>
              <c:f>Header!$O$6</c:f>
              <c:strCache>
                <c:ptCount val="1"/>
                <c:pt idx="0">
                  <c:v>Sum of DA 14%</c:v>
                </c:pt>
              </c:strCache>
            </c:strRef>
          </c:tx>
          <c:dPt>
            <c:idx val="0"/>
            <c:bubble3D val="0"/>
            <c:spPr>
              <a:solidFill>
                <a:schemeClr val="accent1"/>
              </a:solidFill>
              <a:ln>
                <a:noFill/>
              </a:ln>
              <a:effectLst/>
            </c:spPr>
            <c:extLst>
              <c:ext xmlns:c16="http://schemas.microsoft.com/office/drawing/2014/chart" uri="{C3380CC4-5D6E-409C-BE32-E72D297353CC}">
                <c16:uniqueId val="{00000025-6A0F-44F0-AF35-532842336D8A}"/>
              </c:ext>
            </c:extLst>
          </c:dPt>
          <c:dPt>
            <c:idx val="1"/>
            <c:bubble3D val="0"/>
            <c:spPr>
              <a:solidFill>
                <a:schemeClr val="accent2"/>
              </a:solidFill>
              <a:ln>
                <a:noFill/>
              </a:ln>
              <a:effectLst/>
            </c:spPr>
            <c:extLst>
              <c:ext xmlns:c16="http://schemas.microsoft.com/office/drawing/2014/chart" uri="{C3380CC4-5D6E-409C-BE32-E72D297353CC}">
                <c16:uniqueId val="{00000027-6A0F-44F0-AF35-532842336D8A}"/>
              </c:ext>
            </c:extLst>
          </c:dPt>
          <c:dPt>
            <c:idx val="2"/>
            <c:bubble3D val="0"/>
            <c:spPr>
              <a:solidFill>
                <a:schemeClr val="accent3"/>
              </a:solidFill>
              <a:ln>
                <a:noFill/>
              </a:ln>
              <a:effectLst/>
            </c:spPr>
            <c:extLst>
              <c:ext xmlns:c16="http://schemas.microsoft.com/office/drawing/2014/chart" uri="{C3380CC4-5D6E-409C-BE32-E72D297353CC}">
                <c16:uniqueId val="{00000029-6A0F-44F0-AF35-532842336D8A}"/>
              </c:ext>
            </c:extLst>
          </c:dPt>
          <c:dPt>
            <c:idx val="3"/>
            <c:bubble3D val="0"/>
            <c:spPr>
              <a:solidFill>
                <a:schemeClr val="accent4"/>
              </a:solidFill>
              <a:ln>
                <a:noFill/>
              </a:ln>
              <a:effectLst/>
            </c:spPr>
            <c:extLst>
              <c:ext xmlns:c16="http://schemas.microsoft.com/office/drawing/2014/chart" uri="{C3380CC4-5D6E-409C-BE32-E72D297353CC}">
                <c16:uniqueId val="{0000002B-6A0F-44F0-AF35-532842336D8A}"/>
              </c:ext>
            </c:extLst>
          </c:dPt>
          <c:dPt>
            <c:idx val="4"/>
            <c:bubble3D val="0"/>
            <c:spPr>
              <a:solidFill>
                <a:schemeClr val="accent5"/>
              </a:solidFill>
              <a:ln>
                <a:noFill/>
              </a:ln>
              <a:effectLst/>
            </c:spPr>
            <c:extLst>
              <c:ext xmlns:c16="http://schemas.microsoft.com/office/drawing/2014/chart" uri="{C3380CC4-5D6E-409C-BE32-E72D297353CC}">
                <c16:uniqueId val="{0000002D-6A0F-44F0-AF35-532842336D8A}"/>
              </c:ext>
            </c:extLst>
          </c:dPt>
          <c:dPt>
            <c:idx val="5"/>
            <c:bubble3D val="0"/>
            <c:spPr>
              <a:solidFill>
                <a:schemeClr val="accent6"/>
              </a:solidFill>
              <a:ln>
                <a:noFill/>
              </a:ln>
              <a:effectLst/>
            </c:spPr>
            <c:extLst>
              <c:ext xmlns:c16="http://schemas.microsoft.com/office/drawing/2014/chart" uri="{C3380CC4-5D6E-409C-BE32-E72D297353CC}">
                <c16:uniqueId val="{0000002F-6A0F-44F0-AF35-532842336D8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1-6A0F-44F0-AF35-532842336D8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33-6A0F-44F0-AF35-532842336D8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35-6A0F-44F0-AF35-532842336D8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37-6A0F-44F0-AF35-532842336D8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39-6A0F-44F0-AF35-532842336D8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3B-6A0F-44F0-AF35-532842336D8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3D-6A0F-44F0-AF35-532842336D8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3F-6A0F-44F0-AF35-532842336D8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41-6A0F-44F0-AF35-532842336D8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43-6A0F-44F0-AF35-532842336D8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45-6A0F-44F0-AF35-532842336D8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47-6A0F-44F0-AF35-532842336D8A}"/>
              </c:ext>
            </c:extLst>
          </c:dPt>
          <c:cat>
            <c:strRef>
              <c:f>Header!$M$7:$M$24</c:f>
              <c:strCache>
                <c:ptCount val="17"/>
                <c:pt idx="0">
                  <c:v>Ajay Kumar</c:v>
                </c:pt>
                <c:pt idx="1">
                  <c:v>Dipanshu </c:v>
                </c:pt>
                <c:pt idx="2">
                  <c:v>Kamal Kumar</c:v>
                </c:pt>
                <c:pt idx="3">
                  <c:v>Kulwant Singh</c:v>
                </c:pt>
                <c:pt idx="4">
                  <c:v>Laxman Bhatt</c:v>
                </c:pt>
                <c:pt idx="5">
                  <c:v>prakash kumar</c:v>
                </c:pt>
                <c:pt idx="6">
                  <c:v>Prakhar</c:v>
                </c:pt>
                <c:pt idx="7">
                  <c:v>Ram Singh</c:v>
                </c:pt>
                <c:pt idx="8">
                  <c:v>Ravindra</c:v>
                </c:pt>
                <c:pt idx="9">
                  <c:v>Sanjay Kumar</c:v>
                </c:pt>
                <c:pt idx="10">
                  <c:v>Sanyam pokhriyal</c:v>
                </c:pt>
                <c:pt idx="11">
                  <c:v>Shubham Srivastav</c:v>
                </c:pt>
                <c:pt idx="12">
                  <c:v>Shyam Kumar</c:v>
                </c:pt>
                <c:pt idx="13">
                  <c:v>Somdev Yadav</c:v>
                </c:pt>
                <c:pt idx="14">
                  <c:v>Utkarsh Nishad</c:v>
                </c:pt>
                <c:pt idx="15">
                  <c:v>Vijay Ram Bhatt</c:v>
                </c:pt>
                <c:pt idx="16">
                  <c:v>(blank)</c:v>
                </c:pt>
              </c:strCache>
            </c:strRef>
          </c:cat>
          <c:val>
            <c:numRef>
              <c:f>Header!$O$7:$O$24</c:f>
              <c:numCache>
                <c:formatCode>General</c:formatCode>
                <c:ptCount val="17"/>
                <c:pt idx="0">
                  <c:v>7378</c:v>
                </c:pt>
                <c:pt idx="1">
                  <c:v>8792</c:v>
                </c:pt>
                <c:pt idx="2">
                  <c:v>13398</c:v>
                </c:pt>
                <c:pt idx="3">
                  <c:v>8792</c:v>
                </c:pt>
                <c:pt idx="4">
                  <c:v>17598</c:v>
                </c:pt>
                <c:pt idx="5">
                  <c:v>14000</c:v>
                </c:pt>
                <c:pt idx="6">
                  <c:v>15470</c:v>
                </c:pt>
                <c:pt idx="7">
                  <c:v>5950</c:v>
                </c:pt>
                <c:pt idx="8">
                  <c:v>7812</c:v>
                </c:pt>
                <c:pt idx="9">
                  <c:v>4550</c:v>
                </c:pt>
                <c:pt idx="10">
                  <c:v>6342</c:v>
                </c:pt>
                <c:pt idx="11">
                  <c:v>490</c:v>
                </c:pt>
                <c:pt idx="12">
                  <c:v>11928</c:v>
                </c:pt>
                <c:pt idx="13">
                  <c:v>13412</c:v>
                </c:pt>
                <c:pt idx="14">
                  <c:v>6790</c:v>
                </c:pt>
                <c:pt idx="15">
                  <c:v>3192</c:v>
                </c:pt>
              </c:numCache>
            </c:numRef>
          </c:val>
          <c:extLst>
            <c:ext xmlns:c16="http://schemas.microsoft.com/office/drawing/2014/chart" uri="{C3380CC4-5D6E-409C-BE32-E72D297353CC}">
              <c16:uniqueId val="{00000002-2ED9-4CA0-860D-12C2B327E953}"/>
            </c:ext>
          </c:extLst>
        </c:ser>
        <c:dLbls>
          <c:showLegendKey val="0"/>
          <c:showVal val="0"/>
          <c:showCatName val="0"/>
          <c:showSerName val="0"/>
          <c:showPercent val="0"/>
          <c:showBubbleSize val="0"/>
          <c:showLeaderLines val="1"/>
        </c:dLbls>
        <c:gapWidth val="219"/>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accent6"/>
      </a:solidFill>
      <a:prstDash val="solid"/>
      <a:miter lim="800000"/>
    </a:ln>
    <a:effectLst>
      <a:glow rad="63500">
        <a:schemeClr val="accent4">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[Quantitative.xlsx]Excel 1!PivotTable1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solidFill>
                  <a:sysClr val="windowText" lastClr="000000"/>
                </a:solidFill>
                <a:latin typeface="Arial Black" panose="020B0A04020102020204" pitchFamily="34" charset="0"/>
              </a:rPr>
              <a:t>PROVIDENT</a:t>
            </a:r>
            <a:r>
              <a:rPr lang="en-US" sz="1200" b="1" baseline="0">
                <a:solidFill>
                  <a:sysClr val="windowText" lastClr="000000"/>
                </a:solidFill>
                <a:latin typeface="Arial Black" panose="020B0A04020102020204" pitchFamily="34" charset="0"/>
              </a:rPr>
              <a:t> FUND DEDUCTION</a:t>
            </a:r>
            <a:endParaRPr lang="en-US"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'Excel 1'!$D$115</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8B78-495E-B613-62C84E76230F}"/>
              </c:ext>
            </c:extLst>
          </c:dPt>
          <c:dPt>
            <c:idx val="1"/>
            <c:bubble3D val="0"/>
            <c:spPr>
              <a:solidFill>
                <a:schemeClr val="accent2"/>
              </a:solidFill>
              <a:ln>
                <a:noFill/>
              </a:ln>
              <a:effectLst/>
              <a:sp3d/>
            </c:spPr>
            <c:extLst>
              <c:ext xmlns:c16="http://schemas.microsoft.com/office/drawing/2014/chart" uri="{C3380CC4-5D6E-409C-BE32-E72D297353CC}">
                <c16:uniqueId val="{00000003-8B78-495E-B613-62C84E76230F}"/>
              </c:ext>
            </c:extLst>
          </c:dPt>
          <c:dPt>
            <c:idx val="2"/>
            <c:bubble3D val="0"/>
            <c:spPr>
              <a:solidFill>
                <a:schemeClr val="accent3"/>
              </a:solidFill>
              <a:ln>
                <a:noFill/>
              </a:ln>
              <a:effectLst/>
              <a:sp3d/>
            </c:spPr>
            <c:extLst>
              <c:ext xmlns:c16="http://schemas.microsoft.com/office/drawing/2014/chart" uri="{C3380CC4-5D6E-409C-BE32-E72D297353CC}">
                <c16:uniqueId val="{00000005-8B78-495E-B613-62C84E76230F}"/>
              </c:ext>
            </c:extLst>
          </c:dPt>
          <c:dPt>
            <c:idx val="3"/>
            <c:bubble3D val="0"/>
            <c:spPr>
              <a:solidFill>
                <a:schemeClr val="accent4"/>
              </a:solidFill>
              <a:ln>
                <a:noFill/>
              </a:ln>
              <a:effectLst/>
              <a:sp3d/>
            </c:spPr>
            <c:extLst>
              <c:ext xmlns:c16="http://schemas.microsoft.com/office/drawing/2014/chart" uri="{C3380CC4-5D6E-409C-BE32-E72D297353CC}">
                <c16:uniqueId val="{00000007-8B78-495E-B613-62C84E76230F}"/>
              </c:ext>
            </c:extLst>
          </c:dPt>
          <c:dPt>
            <c:idx val="4"/>
            <c:bubble3D val="0"/>
            <c:spPr>
              <a:solidFill>
                <a:schemeClr val="accent5"/>
              </a:solidFill>
              <a:ln>
                <a:noFill/>
              </a:ln>
              <a:effectLst/>
              <a:sp3d/>
            </c:spPr>
            <c:extLst>
              <c:ext xmlns:c16="http://schemas.microsoft.com/office/drawing/2014/chart" uri="{C3380CC4-5D6E-409C-BE32-E72D297353CC}">
                <c16:uniqueId val="{00000009-8B78-495E-B613-62C84E76230F}"/>
              </c:ext>
            </c:extLst>
          </c:dPt>
          <c:dPt>
            <c:idx val="5"/>
            <c:bubble3D val="0"/>
            <c:spPr>
              <a:solidFill>
                <a:schemeClr val="accent6"/>
              </a:solidFill>
              <a:ln>
                <a:noFill/>
              </a:ln>
              <a:effectLst/>
              <a:sp3d/>
            </c:spPr>
            <c:extLst>
              <c:ext xmlns:c16="http://schemas.microsoft.com/office/drawing/2014/chart" uri="{C3380CC4-5D6E-409C-BE32-E72D297353CC}">
                <c16:uniqueId val="{0000000B-8B78-495E-B613-62C84E76230F}"/>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8B78-495E-B613-62C84E76230F}"/>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8B78-495E-B613-62C84E76230F}"/>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8B78-495E-B613-62C84E76230F}"/>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8B78-495E-B613-62C84E76230F}"/>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8B78-495E-B613-62C84E76230F}"/>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8B78-495E-B613-62C84E76230F}"/>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8B78-495E-B613-62C84E76230F}"/>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8B78-495E-B613-62C84E76230F}"/>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8B78-495E-B613-62C84E76230F}"/>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8B78-495E-B613-62C84E76230F}"/>
              </c:ext>
            </c:extLst>
          </c:dPt>
          <c:cat>
            <c:strRef>
              <c:f>'Excel 1'!$C$116:$C$132</c:f>
              <c:strCache>
                <c:ptCount val="16"/>
                <c:pt idx="0">
                  <c:v>Ajay Kumar</c:v>
                </c:pt>
                <c:pt idx="1">
                  <c:v>Dipanshu </c:v>
                </c:pt>
                <c:pt idx="2">
                  <c:v>Kamal Kumar</c:v>
                </c:pt>
                <c:pt idx="3">
                  <c:v>Kulwant Singh</c:v>
                </c:pt>
                <c:pt idx="4">
                  <c:v>Laxman Bhatt</c:v>
                </c:pt>
                <c:pt idx="5">
                  <c:v>prakash kumar</c:v>
                </c:pt>
                <c:pt idx="6">
                  <c:v>Prakhar</c:v>
                </c:pt>
                <c:pt idx="7">
                  <c:v>Ram Singh</c:v>
                </c:pt>
                <c:pt idx="8">
                  <c:v>Ravindra</c:v>
                </c:pt>
                <c:pt idx="9">
                  <c:v>Sanjay Kumar</c:v>
                </c:pt>
                <c:pt idx="10">
                  <c:v>Sanyam pokhriyal</c:v>
                </c:pt>
                <c:pt idx="11">
                  <c:v>Shubham Srivastav</c:v>
                </c:pt>
                <c:pt idx="12">
                  <c:v>Shyam Kumar</c:v>
                </c:pt>
                <c:pt idx="13">
                  <c:v>Somdev Yadav</c:v>
                </c:pt>
                <c:pt idx="14">
                  <c:v>Utkarsh Nishad</c:v>
                </c:pt>
                <c:pt idx="15">
                  <c:v>Vijay Ram Bhatt</c:v>
                </c:pt>
              </c:strCache>
            </c:strRef>
          </c:cat>
          <c:val>
            <c:numRef>
              <c:f>'Excel 1'!$D$116:$D$132</c:f>
              <c:numCache>
                <c:formatCode>General</c:formatCode>
                <c:ptCount val="16"/>
                <c:pt idx="0">
                  <c:v>7841.76</c:v>
                </c:pt>
                <c:pt idx="1">
                  <c:v>9344.64</c:v>
                </c:pt>
                <c:pt idx="2">
                  <c:v>14240.16</c:v>
                </c:pt>
                <c:pt idx="3">
                  <c:v>9344.64</c:v>
                </c:pt>
                <c:pt idx="4">
                  <c:v>18704.16</c:v>
                </c:pt>
                <c:pt idx="5">
                  <c:v>14880</c:v>
                </c:pt>
                <c:pt idx="6">
                  <c:v>16442.400000000001</c:v>
                </c:pt>
                <c:pt idx="7">
                  <c:v>6324</c:v>
                </c:pt>
                <c:pt idx="8">
                  <c:v>8303.0400000000009</c:v>
                </c:pt>
                <c:pt idx="9">
                  <c:v>4836</c:v>
                </c:pt>
                <c:pt idx="10">
                  <c:v>6740.64</c:v>
                </c:pt>
                <c:pt idx="11">
                  <c:v>520.79999999999995</c:v>
                </c:pt>
                <c:pt idx="12">
                  <c:v>12677.76</c:v>
                </c:pt>
                <c:pt idx="13">
                  <c:v>14255.04</c:v>
                </c:pt>
                <c:pt idx="14">
                  <c:v>7216.8</c:v>
                </c:pt>
                <c:pt idx="15">
                  <c:v>3392.64</c:v>
                </c:pt>
              </c:numCache>
            </c:numRef>
          </c:val>
          <c:extLst>
            <c:ext xmlns:c16="http://schemas.microsoft.com/office/drawing/2014/chart" uri="{C3380CC4-5D6E-409C-BE32-E72D297353CC}">
              <c16:uniqueId val="{00000012-4B72-4A94-92D8-95F54202A09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accent6">
          <a:lumMod val="75000"/>
        </a:schemeClr>
      </a:solidFill>
      <a:prstDash val="solid"/>
      <a:miter lim="800000"/>
    </a:ln>
    <a:effectLst>
      <a:glow rad="101600">
        <a:schemeClr val="accent6">
          <a:satMod val="175000"/>
          <a:alpha val="40000"/>
        </a:schemeClr>
      </a:glow>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7</xdr:col>
      <xdr:colOff>190500</xdr:colOff>
      <xdr:row>0</xdr:row>
      <xdr:rowOff>167640</xdr:rowOff>
    </xdr:from>
    <xdr:to>
      <xdr:col>10</xdr:col>
      <xdr:colOff>281647</xdr:colOff>
      <xdr:row>14</xdr:row>
      <xdr:rowOff>74295</xdr:rowOff>
    </xdr:to>
    <mc:AlternateContent xmlns:mc="http://schemas.openxmlformats.org/markup-compatibility/2006" xmlns:a14="http://schemas.microsoft.com/office/drawing/2010/main">
      <mc:Choice Requires="a14">
        <xdr:graphicFrame macro="">
          <xdr:nvGraphicFramePr>
            <xdr:cNvPr id="2" name="Rep">
              <a:extLst>
                <a:ext uri="{FF2B5EF4-FFF2-40B4-BE49-F238E27FC236}">
                  <a16:creationId xmlns:a16="http://schemas.microsoft.com/office/drawing/2014/main" id="{A3E8A5EC-BECB-059D-BC9D-6FA788BEAA29}"/>
                </a:ext>
              </a:extLst>
            </xdr:cNvPr>
            <xdr:cNvGraphicFramePr/>
          </xdr:nvGraphicFramePr>
          <xdr:xfrm>
            <a:off x="0" y="0"/>
            <a:ext cx="0" cy="0"/>
          </xdr:xfrm>
          <a:graphic>
            <a:graphicData uri="http://schemas.microsoft.com/office/drawing/2010/slicer">
              <sle:slicer xmlns:sle="http://schemas.microsoft.com/office/drawing/2010/slicer" name="Rep"/>
            </a:graphicData>
          </a:graphic>
        </xdr:graphicFrame>
      </mc:Choice>
      <mc:Fallback xmlns="">
        <xdr:sp macro="" textlink="">
          <xdr:nvSpPr>
            <xdr:cNvPr id="0" name=""/>
            <xdr:cNvSpPr>
              <a:spLocks noTextEdit="1"/>
            </xdr:cNvSpPr>
          </xdr:nvSpPr>
          <xdr:spPr>
            <a:xfrm>
              <a:off x="4967654" y="167640"/>
              <a:ext cx="1834955" cy="2471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106681</xdr:rowOff>
    </xdr:from>
    <xdr:to>
      <xdr:col>1</xdr:col>
      <xdr:colOff>960413</xdr:colOff>
      <xdr:row>24</xdr:row>
      <xdr:rowOff>137161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688DFA2-5EB3-5E46-469F-861EC9964F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220623"/>
              <a:ext cx="1832317" cy="1312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17</xdr:row>
      <xdr:rowOff>160020</xdr:rowOff>
    </xdr:from>
    <xdr:to>
      <xdr:col>8</xdr:col>
      <xdr:colOff>44547</xdr:colOff>
      <xdr:row>25</xdr:row>
      <xdr:rowOff>68580</xdr:rowOff>
    </xdr:to>
    <mc:AlternateContent xmlns:mc="http://schemas.openxmlformats.org/markup-compatibility/2006" xmlns:tsle="http://schemas.microsoft.com/office/drawing/2012/timeslicer">
      <mc:Choice Requires="tsle">
        <xdr:graphicFrame macro="">
          <xdr:nvGraphicFramePr>
            <xdr:cNvPr id="7" name="OrderDate">
              <a:extLst>
                <a:ext uri="{FF2B5EF4-FFF2-40B4-BE49-F238E27FC236}">
                  <a16:creationId xmlns:a16="http://schemas.microsoft.com/office/drawing/2014/main" id="{E34ED804-884D-5806-2D34-8F78102241CF}"/>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063555" y="3273962"/>
              <a:ext cx="3344300" cy="137394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205740</xdr:colOff>
      <xdr:row>18</xdr:row>
      <xdr:rowOff>0</xdr:rowOff>
    </xdr:from>
    <xdr:to>
      <xdr:col>14</xdr:col>
      <xdr:colOff>568569</xdr:colOff>
      <xdr:row>25</xdr:row>
      <xdr:rowOff>91440</xdr:rowOff>
    </xdr:to>
    <mc:AlternateContent xmlns:mc="http://schemas.openxmlformats.org/markup-compatibility/2006" xmlns:tsle="http://schemas.microsoft.com/office/drawing/2012/timeslicer">
      <mc:Choice Requires="tsle">
        <xdr:graphicFrame macro="">
          <xdr:nvGraphicFramePr>
            <xdr:cNvPr id="8" name="OrderDate 1">
              <a:extLst>
                <a:ext uri="{FF2B5EF4-FFF2-40B4-BE49-F238E27FC236}">
                  <a16:creationId xmlns:a16="http://schemas.microsoft.com/office/drawing/2014/main" id="{8E278D1D-5DD9-E8C4-3370-48FA620CD4F7}"/>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6221144" y="3297115"/>
              <a:ext cx="3344887" cy="13736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578317</xdr:colOff>
      <xdr:row>1</xdr:row>
      <xdr:rowOff>110289</xdr:rowOff>
    </xdr:from>
    <xdr:to>
      <xdr:col>20</xdr:col>
      <xdr:colOff>701841</xdr:colOff>
      <xdr:row>17</xdr:row>
      <xdr:rowOff>0</xdr:rowOff>
    </xdr:to>
    <xdr:graphicFrame macro="">
      <xdr:nvGraphicFramePr>
        <xdr:cNvPr id="9" name="Chart 8">
          <a:extLst>
            <a:ext uri="{FF2B5EF4-FFF2-40B4-BE49-F238E27FC236}">
              <a16:creationId xmlns:a16="http://schemas.microsoft.com/office/drawing/2014/main" id="{C3EC78B6-6EE4-8D38-516C-B3CDD49B2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2</xdr:row>
      <xdr:rowOff>102870</xdr:rowOff>
    </xdr:from>
    <xdr:to>
      <xdr:col>5</xdr:col>
      <xdr:colOff>487680</xdr:colOff>
      <xdr:row>17</xdr:row>
      <xdr:rowOff>102870</xdr:rowOff>
    </xdr:to>
    <xdr:graphicFrame macro="">
      <xdr:nvGraphicFramePr>
        <xdr:cNvPr id="2" name="Chart 1">
          <a:extLst>
            <a:ext uri="{FF2B5EF4-FFF2-40B4-BE49-F238E27FC236}">
              <a16:creationId xmlns:a16="http://schemas.microsoft.com/office/drawing/2014/main" id="{4C555742-D068-DFC0-E811-68DF5663C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17</xdr:row>
      <xdr:rowOff>179070</xdr:rowOff>
    </xdr:from>
    <xdr:to>
      <xdr:col>5</xdr:col>
      <xdr:colOff>510540</xdr:colOff>
      <xdr:row>32</xdr:row>
      <xdr:rowOff>179070</xdr:rowOff>
    </xdr:to>
    <xdr:graphicFrame macro="">
      <xdr:nvGraphicFramePr>
        <xdr:cNvPr id="5" name="Chart 4">
          <a:extLst>
            <a:ext uri="{FF2B5EF4-FFF2-40B4-BE49-F238E27FC236}">
              <a16:creationId xmlns:a16="http://schemas.microsoft.com/office/drawing/2014/main" id="{991B172B-14B0-A013-1307-0111334AB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525780</xdr:colOff>
      <xdr:row>2</xdr:row>
      <xdr:rowOff>91440</xdr:rowOff>
    </xdr:from>
    <xdr:to>
      <xdr:col>13</xdr:col>
      <xdr:colOff>114300</xdr:colOff>
      <xdr:row>17</xdr:row>
      <xdr:rowOff>91440</xdr:rowOff>
    </xdr:to>
    <xdr:graphicFrame macro="">
      <xdr:nvGraphicFramePr>
        <xdr:cNvPr id="8" name="Chart 7">
          <a:extLst>
            <a:ext uri="{FF2B5EF4-FFF2-40B4-BE49-F238E27FC236}">
              <a16:creationId xmlns:a16="http://schemas.microsoft.com/office/drawing/2014/main" id="{5A4B5B71-F103-3E1B-9E5F-FF94E194A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586740</xdr:colOff>
      <xdr:row>17</xdr:row>
      <xdr:rowOff>175260</xdr:rowOff>
    </xdr:from>
    <xdr:to>
      <xdr:col>13</xdr:col>
      <xdr:colOff>175260</xdr:colOff>
      <xdr:row>32</xdr:row>
      <xdr:rowOff>175260</xdr:rowOff>
    </xdr:to>
    <xdr:graphicFrame macro="">
      <xdr:nvGraphicFramePr>
        <xdr:cNvPr id="3" name="Chart 2">
          <a:extLst>
            <a:ext uri="{FF2B5EF4-FFF2-40B4-BE49-F238E27FC236}">
              <a16:creationId xmlns:a16="http://schemas.microsoft.com/office/drawing/2014/main" id="{58F34B4C-7FEA-4661-B385-3D503B9E0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208651</xdr:colOff>
      <xdr:row>17</xdr:row>
      <xdr:rowOff>115327</xdr:rowOff>
    </xdr:from>
    <xdr:to>
      <xdr:col>16</xdr:col>
      <xdr:colOff>18362</xdr:colOff>
      <xdr:row>33</xdr:row>
      <xdr:rowOff>0</xdr:rowOff>
    </xdr:to>
    <mc:AlternateContent xmlns:mc="http://schemas.openxmlformats.org/markup-compatibility/2006" xmlns:a14="http://schemas.microsoft.com/office/drawing/2010/main">
      <mc:Choice Requires="a14">
        <xdr:graphicFrame macro="">
          <xdr:nvGraphicFramePr>
            <xdr:cNvPr id="4" name="Employee name">
              <a:extLst>
                <a:ext uri="{FF2B5EF4-FFF2-40B4-BE49-F238E27FC236}">
                  <a16:creationId xmlns:a16="http://schemas.microsoft.com/office/drawing/2014/main" id="{41BA33A8-523A-A850-A3BB-664EBCEBBE04}"/>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9260844" y="3236773"/>
              <a:ext cx="2646554" cy="2822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211799</xdr:colOff>
      <xdr:row>2</xdr:row>
      <xdr:rowOff>106680</xdr:rowOff>
    </xdr:from>
    <xdr:to>
      <xdr:col>18</xdr:col>
      <xdr:colOff>417539</xdr:colOff>
      <xdr:row>17</xdr:row>
      <xdr:rowOff>106680</xdr:rowOff>
    </xdr:to>
    <xdr:graphicFrame macro="">
      <xdr:nvGraphicFramePr>
        <xdr:cNvPr id="6" name="Chart 5">
          <a:extLst>
            <a:ext uri="{FF2B5EF4-FFF2-40B4-BE49-F238E27FC236}">
              <a16:creationId xmlns:a16="http://schemas.microsoft.com/office/drawing/2014/main" id="{74AD6068-6C19-4FFA-A082-9FD1988CF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64265</xdr:colOff>
      <xdr:row>0</xdr:row>
      <xdr:rowOff>55084</xdr:rowOff>
    </xdr:from>
    <xdr:to>
      <xdr:col>25</xdr:col>
      <xdr:colOff>45903</xdr:colOff>
      <xdr:row>2</xdr:row>
      <xdr:rowOff>45904</xdr:rowOff>
    </xdr:to>
    <xdr:sp macro="" textlink="">
      <xdr:nvSpPr>
        <xdr:cNvPr id="13" name="Rectangle: Rounded Corners 12">
          <a:extLst>
            <a:ext uri="{FF2B5EF4-FFF2-40B4-BE49-F238E27FC236}">
              <a16:creationId xmlns:a16="http://schemas.microsoft.com/office/drawing/2014/main" id="{757F2CB5-1FD4-D7D3-0421-A7C48B73C541}"/>
            </a:ext>
          </a:extLst>
        </xdr:cNvPr>
        <xdr:cNvSpPr/>
      </xdr:nvSpPr>
      <xdr:spPr>
        <a:xfrm>
          <a:off x="64265" y="55084"/>
          <a:ext cx="17324024" cy="35804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a:t>                                                                                                                                                   </a:t>
          </a:r>
          <a:r>
            <a:rPr lang="en-IN" sz="14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EMPLOYEES INCOME STATEMENT ANALYSIS</a:t>
          </a:r>
          <a:endParaRPr lang="en-IN" sz="1400" b="1">
            <a:solidFill>
              <a:schemeClr val="tx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5215.497656944448" createdVersion="8" refreshedVersion="8" minRefreshableVersion="3" recordCount="43" xr:uid="{7A85F7BA-05BE-41FB-ACD3-0204D69F28C8}">
  <cacheSource type="worksheet">
    <worksheetSource ref="A1:I44" sheet="Sample Data"/>
  </cacheSource>
  <cacheFields count="7">
    <cacheField name="OrderDate" numFmtId="166">
      <sharedItems containsSemiMixedTypes="0" containsNonDate="0" containsDate="1" containsString="0" minDate="2014-01-06T00:00:00" maxDate="2015-12-22T00:00:00" count="43">
        <d v="2014-09-01T00:00:00"/>
        <d v="2015-06-17T00:00:00"/>
        <d v="2015-09-10T00:00:00"/>
        <d v="2015-11-17T00:00:00"/>
        <d v="2015-10-31T00:00:00"/>
        <d v="2014-02-26T00:00:00"/>
        <d v="2014-10-05T00:00:00"/>
        <d v="2015-12-21T00:00:00"/>
        <d v="2014-02-09T00:00:00"/>
        <d v="2015-08-07T00:00:00"/>
        <d v="2015-01-15T00:00:00"/>
        <d v="2014-01-23T00:00:00"/>
        <d v="2015-03-24T00:00:00"/>
        <d v="2015-05-14T00:00:00"/>
        <d v="2015-07-21T00:00:00"/>
        <d v="2015-04-10T00:00:00"/>
        <d v="2014-12-12T00:00:00"/>
        <d v="2014-04-18T00:00:00"/>
        <d v="2015-05-31T00:00:00"/>
        <d v="2015-02-01T00:00:00"/>
        <d v="2014-05-05T00:00:00"/>
        <d v="2014-06-25T00:00:00"/>
        <d v="2015-12-04T00:00:00"/>
        <d v="2014-11-25T00:00:00"/>
        <d v="2015-02-18T00:00:00"/>
        <d v="2014-11-08T00:00:00"/>
        <d v="2014-09-18T00:00:00"/>
        <d v="2014-07-12T00:00:00"/>
        <d v="2014-08-15T00:00:00"/>
        <d v="2014-04-01T00:00:00"/>
        <d v="2014-06-08T00:00:00"/>
        <d v="2015-07-04T00:00:00"/>
        <d v="2014-10-22T00:00:00"/>
        <d v="2014-12-29T00:00:00"/>
        <d v="2014-07-29T00:00:00"/>
        <d v="2014-01-06T00:00:00"/>
        <d v="2015-04-27T00:00:00"/>
        <d v="2015-08-24T00:00:00"/>
        <d v="2015-03-07T00:00:00"/>
        <d v="2014-05-22T00:00:00"/>
        <d v="2014-03-15T00:00:00"/>
        <d v="2015-10-14T00:00:00"/>
        <d v="2015-09-27T00:00:00"/>
      </sharedItems>
    </cacheField>
    <cacheField name="Region" numFmtId="0">
      <sharedItems count="3">
        <s v="Central"/>
        <s v="East"/>
        <s v="West"/>
      </sharedItems>
    </cacheField>
    <cacheField name="Rep" numFmtId="0">
      <sharedItems count="11">
        <s v="Smith"/>
        <s v="Kivell"/>
        <s v="Gill"/>
        <s v="Jardine"/>
        <s v="Andrews"/>
        <s v="Morgan"/>
        <s v="Jones"/>
        <s v="Parent"/>
        <s v="Howard"/>
        <s v="Sorvino"/>
        <s v="Thompson"/>
      </sharedItems>
    </cacheField>
    <cacheField name="Item" numFmtId="0">
      <sharedItems count="5">
        <s v="Desk"/>
        <s v="Pencil"/>
        <s v="Binder"/>
        <s v="Pen"/>
        <s v="Pen Set"/>
      </sharedItems>
    </cacheField>
    <cacheField name="Units" numFmtId="0">
      <sharedItems containsSemiMixedTypes="0" containsString="0" containsNumber="1" containsInteger="1" minValue="2" maxValue="96"/>
    </cacheField>
    <cacheField name="Unit Cost" numFmtId="43">
      <sharedItems containsSemiMixedTypes="0" containsString="0" containsNumber="1" minValue="1.29" maxValue="275"/>
    </cacheField>
    <cacheField name="Total" numFmtId="43">
      <sharedItems containsSemiMixedTypes="0" containsString="0" containsNumber="1" minValue="9.0300000000000011" maxValue="1879.06"/>
    </cacheField>
  </cacheFields>
  <extLst>
    <ext xmlns:x14="http://schemas.microsoft.com/office/spreadsheetml/2009/9/main" uri="{725AE2AE-9491-48be-B2B4-4EB974FC3084}">
      <x14:pivotCacheDefinition pivotCacheId="9232021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5906.933296064817" createdVersion="8" refreshedVersion="8" minRefreshableVersion="3" recordCount="20" xr:uid="{8F85D5E0-5C82-4146-BE89-B56631C1704C}">
  <cacheSource type="worksheet">
    <worksheetSource ref="A32:L52" sheet="Excel 1"/>
  </cacheSource>
  <cacheFields count="12">
    <cacheField name="Employee name" numFmtId="0">
      <sharedItems containsBlank="1" count="17">
        <m/>
        <s v="Somdev Yadav"/>
        <s v="Utkarsh Nishad"/>
        <s v="Sanyam pokhriyal"/>
        <s v="Shubham Srivastav"/>
        <s v="Ram Singh"/>
        <s v="Laxman Bhatt"/>
        <s v="prakash kumar"/>
        <s v="Sanjay Kumar"/>
        <s v="Vijay Ram Bhatt"/>
        <s v="Kulwant Singh"/>
        <s v="Ajay Kumar"/>
        <s v="Ravindra"/>
        <s v="Shyam Kumar"/>
        <s v="Kamal Kumar"/>
        <s v="Prakhar"/>
        <s v="Dipanshu "/>
      </sharedItems>
    </cacheField>
    <cacheField name="Employee ID" numFmtId="0">
      <sharedItems containsString="0" containsBlank="1" containsNumber="1" containsInteger="1" minValue="11285" maxValue="14455" count="19">
        <m/>
        <n v="12355"/>
        <n v="12855"/>
        <n v="14455"/>
        <n v="12389"/>
        <n v="12523"/>
        <n v="12745"/>
        <n v="12278"/>
        <n v="12599"/>
        <n v="12577"/>
        <n v="11285"/>
        <n v="12566"/>
        <n v="12589"/>
        <n v="12578"/>
        <n v="12574"/>
        <n v="12985"/>
        <n v="12548"/>
        <n v="12596"/>
        <n v="12588"/>
      </sharedItems>
    </cacheField>
    <cacheField name="Base Salary" numFmtId="0">
      <sharedItems containsString="0" containsBlank="1" containsNumber="1" containsInteger="1" minValue="3500" maxValue="110500"/>
    </cacheField>
    <cacheField name="TA3%" numFmtId="0">
      <sharedItems containsString="0" containsBlank="1" containsNumber="1" containsInteger="1" minValue="105" maxValue="3315" count="18">
        <m/>
        <n v="2874"/>
        <n v="1455"/>
        <n v="1359"/>
        <n v="105"/>
        <n v="1275"/>
        <n v="2487"/>
        <n v="2265"/>
        <n v="975"/>
        <n v="684"/>
        <n v="735"/>
        <n v="1884"/>
        <n v="1284"/>
        <n v="1581"/>
        <n v="1674"/>
        <n v="2556"/>
        <n v="2871"/>
        <n v="3315"/>
      </sharedItems>
    </cacheField>
    <cacheField name="DA 14%" numFmtId="0">
      <sharedItems containsString="0" containsBlank="1" containsNumber="1" containsInteger="1" minValue="490" maxValue="15470"/>
    </cacheField>
    <cacheField name="HRA 7%" numFmtId="0">
      <sharedItems containsString="0" containsBlank="1" containsNumber="1" containsInteger="1" minValue="245" maxValue="7735"/>
    </cacheField>
    <cacheField name="Gross Income" numFmtId="0">
      <sharedItems containsString="0" containsBlank="1" containsNumber="1" containsInteger="1" minValue="4340" maxValue="137020"/>
    </cacheField>
    <cacheField name="P F Deduction 12%" numFmtId="0">
      <sharedItems containsString="0" containsBlank="1" containsNumber="1" minValue="520.79999999999995" maxValue="16442.400000000001" count="18">
        <m/>
        <n v="14255.04"/>
        <n v="7216.8"/>
        <n v="6740.64"/>
        <n v="520.79999999999995"/>
        <n v="6324"/>
        <n v="12335.52"/>
        <n v="11234.4"/>
        <n v="4836"/>
        <n v="3392.64"/>
        <n v="3645.6"/>
        <n v="9344.64"/>
        <n v="6368.64"/>
        <n v="7841.76"/>
        <n v="8303.0400000000009"/>
        <n v="12677.76"/>
        <n v="14240.16"/>
        <n v="16442.400000000001"/>
      </sharedItems>
    </cacheField>
    <cacheField name="Professional Tax 2%" numFmtId="0">
      <sharedItems containsString="0" containsBlank="1" containsNumber="1" minValue="86.8" maxValue="2740.4"/>
    </cacheField>
    <cacheField name=" Criteria" numFmtId="0">
      <sharedItems containsBlank="1"/>
    </cacheField>
    <cacheField name="Gross Deduction" numFmtId="0">
      <sharedItems containsString="0" containsBlank="1" containsNumber="1" minValue="607.59999999999991" maxValue="19182.800000000003"/>
    </cacheField>
    <cacheField name="In Hand Salary" numFmtId="0">
      <sharedItems containsString="0" containsBlank="1" containsNumber="1" minValue="3732.4" maxValue="117837.2" count="18">
        <m/>
        <n v="102161.12"/>
        <n v="51720.4"/>
        <n v="48307.92"/>
        <n v="3732.4"/>
        <n v="45322"/>
        <n v="88404.56"/>
        <n v="80513.2"/>
        <n v="34658"/>
        <n v="24313.919999999998"/>
        <n v="26126.799999999999"/>
        <n v="66969.919999999998"/>
        <n v="45641.919999999998"/>
        <n v="56199.28"/>
        <n v="59505.119999999995"/>
        <n v="90857.279999999999"/>
        <n v="102054.48"/>
        <n v="117837.2"/>
      </sharedItems>
    </cacheField>
  </cacheFields>
  <extLst>
    <ext xmlns:x14="http://schemas.microsoft.com/office/spreadsheetml/2009/9/main" uri="{725AE2AE-9491-48be-B2B4-4EB974FC3084}">
      <x14:pivotCacheDefinition pivotCacheId="28905640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5953.858752083332" createdVersion="8" refreshedVersion="8" minRefreshableVersion="3" recordCount="20" xr:uid="{5FE5286F-AC3B-4D5E-BFF7-354A9709A91E}">
  <cacheSource type="worksheet">
    <worksheetSource ref="A73:L93" sheet="Excel 1"/>
  </cacheSource>
  <cacheFields count="12">
    <cacheField name="Employee Name" numFmtId="0">
      <sharedItems containsBlank="1" count="18">
        <m/>
        <s v="Somdev Yadav"/>
        <s v="Utkarsh Nishad"/>
        <s v="Sanyam pokhriyal"/>
        <s v="Shubham Srivastav"/>
        <s v="Ram Singh"/>
        <s v="Laxman Bhatt"/>
        <s v="Prakash kumar"/>
        <s v="Sanjay Kumar"/>
        <s v="Vijay Ram Bhatt"/>
        <s v="Rajeev kumar"/>
        <s v="Kulwant Singh"/>
        <s v="Ajay Kumar"/>
        <s v="Ravindra"/>
        <s v="Shyam Kumar"/>
        <s v="Kamal Kumar"/>
        <s v="Prakhar"/>
        <s v="Dipanshu "/>
      </sharedItems>
    </cacheField>
    <cacheField name="Employee ID" numFmtId="0">
      <sharedItems containsString="0" containsBlank="1" containsNumber="1" containsInteger="1" minValue="125670" maxValue="125699" count="19">
        <m/>
        <n v="125688"/>
        <n v="125689"/>
        <n v="125690"/>
        <n v="125691"/>
        <n v="125692"/>
        <n v="125693"/>
        <n v="125694"/>
        <n v="125695"/>
        <n v="125696"/>
        <n v="125697"/>
        <n v="125698"/>
        <n v="125699"/>
        <n v="125670"/>
        <n v="125671"/>
        <n v="125672"/>
        <n v="125673"/>
        <n v="125674"/>
        <n v="125675"/>
      </sharedItems>
    </cacheField>
    <cacheField name="Base Salary" numFmtId="0">
      <sharedItems containsString="0" containsBlank="1" containsNumber="1" containsInteger="1" minValue="3500" maxValue="110500"/>
    </cacheField>
    <cacheField name="TA 3%" numFmtId="0">
      <sharedItems containsString="0" containsBlank="1" containsNumber="1" containsInteger="1" minValue="105" maxValue="3315"/>
    </cacheField>
    <cacheField name="DA 14%" numFmtId="0">
      <sharedItems containsString="0" containsBlank="1" containsNumber="1" containsInteger="1" minValue="490" maxValue="15470"/>
    </cacheField>
    <cacheField name="HRA 7%" numFmtId="0">
      <sharedItems containsString="0" containsBlank="1" containsNumber="1" containsInteger="1" minValue="245" maxValue="7735"/>
    </cacheField>
    <cacheField name="Gross Income" numFmtId="0">
      <sharedItems containsString="0" containsBlank="1" containsNumber="1" containsInteger="1" minValue="4340" maxValue="137020"/>
    </cacheField>
    <cacheField name="P F Deduction 12 %" numFmtId="0">
      <sharedItems containsString="0" containsBlank="1" containsNumber="1" minValue="520.79999999999995" maxValue="16442.400000000001"/>
    </cacheField>
    <cacheField name="Professional Tax 2%" numFmtId="0">
      <sharedItems containsString="0" containsBlank="1" containsNumber="1" minValue="86.8" maxValue="2740.4"/>
    </cacheField>
    <cacheField name="Gross Deductions" numFmtId="0">
      <sharedItems containsString="0" containsBlank="1" containsNumber="1" minValue="607.59999999999991" maxValue="19182.800000000003"/>
    </cacheField>
    <cacheField name="Salary Take Home" numFmtId="0">
      <sharedItems containsString="0" containsBlank="1" containsNumber="1" minValue="3732.4" maxValue="117837.2"/>
    </cacheField>
    <cacheField name="Criteria" numFmtId="0">
      <sharedItems containsBlank="1" count="3">
        <m/>
        <s v="High Income"/>
        <s v="Low Incom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x v="0"/>
    <x v="0"/>
    <x v="0"/>
    <x v="0"/>
    <n v="2"/>
    <n v="125"/>
    <n v="250"/>
  </r>
  <r>
    <x v="1"/>
    <x v="0"/>
    <x v="1"/>
    <x v="0"/>
    <n v="5"/>
    <n v="125"/>
    <n v="625"/>
  </r>
  <r>
    <x v="2"/>
    <x v="0"/>
    <x v="2"/>
    <x v="1"/>
    <n v="7"/>
    <n v="1.29"/>
    <n v="9.0300000000000011"/>
  </r>
  <r>
    <x v="3"/>
    <x v="0"/>
    <x v="3"/>
    <x v="2"/>
    <n v="11"/>
    <n v="4.99"/>
    <n v="54.89"/>
  </r>
  <r>
    <x v="4"/>
    <x v="0"/>
    <x v="4"/>
    <x v="1"/>
    <n v="14"/>
    <n v="1.29"/>
    <n v="18.060000000000002"/>
  </r>
  <r>
    <x v="5"/>
    <x v="0"/>
    <x v="2"/>
    <x v="3"/>
    <n v="27"/>
    <n v="19.989999999999998"/>
    <n v="539.7299999999999"/>
  </r>
  <r>
    <x v="6"/>
    <x v="0"/>
    <x v="5"/>
    <x v="2"/>
    <n v="28"/>
    <n v="8.99"/>
    <n v="251.72"/>
  </r>
  <r>
    <x v="7"/>
    <x v="0"/>
    <x v="4"/>
    <x v="2"/>
    <n v="28"/>
    <n v="4.99"/>
    <n v="139.72"/>
  </r>
  <r>
    <x v="8"/>
    <x v="0"/>
    <x v="3"/>
    <x v="1"/>
    <n v="36"/>
    <n v="4.99"/>
    <n v="179.64000000000001"/>
  </r>
  <r>
    <x v="9"/>
    <x v="0"/>
    <x v="1"/>
    <x v="4"/>
    <n v="42"/>
    <n v="23.95"/>
    <n v="1005.9"/>
  </r>
  <r>
    <x v="10"/>
    <x v="0"/>
    <x v="2"/>
    <x v="2"/>
    <n v="46"/>
    <n v="8.99"/>
    <n v="413.54"/>
  </r>
  <r>
    <x v="11"/>
    <x v="0"/>
    <x v="1"/>
    <x v="2"/>
    <n v="50"/>
    <n v="19.989999999999998"/>
    <n v="999.49999999999989"/>
  </r>
  <r>
    <x v="12"/>
    <x v="0"/>
    <x v="3"/>
    <x v="4"/>
    <n v="50"/>
    <n v="4.99"/>
    <n v="249.5"/>
  </r>
  <r>
    <x v="13"/>
    <x v="0"/>
    <x v="2"/>
    <x v="1"/>
    <n v="53"/>
    <n v="1.29"/>
    <n v="68.37"/>
  </r>
  <r>
    <x v="14"/>
    <x v="0"/>
    <x v="5"/>
    <x v="4"/>
    <n v="55"/>
    <n v="12.49"/>
    <n v="686.95"/>
  </r>
  <r>
    <x v="15"/>
    <x v="0"/>
    <x v="4"/>
    <x v="1"/>
    <n v="66"/>
    <n v="1.99"/>
    <n v="131.34"/>
  </r>
  <r>
    <x v="16"/>
    <x v="0"/>
    <x v="0"/>
    <x v="1"/>
    <n v="67"/>
    <n v="1.29"/>
    <n v="86.43"/>
  </r>
  <r>
    <x v="17"/>
    <x v="0"/>
    <x v="4"/>
    <x v="1"/>
    <n v="75"/>
    <n v="1.99"/>
    <n v="149.25"/>
  </r>
  <r>
    <x v="18"/>
    <x v="0"/>
    <x v="2"/>
    <x v="2"/>
    <n v="80"/>
    <n v="8.99"/>
    <n v="719.2"/>
  </r>
  <r>
    <x v="19"/>
    <x v="0"/>
    <x v="0"/>
    <x v="2"/>
    <n v="87"/>
    <n v="15"/>
    <n v="1305"/>
  </r>
  <r>
    <x v="20"/>
    <x v="0"/>
    <x v="3"/>
    <x v="1"/>
    <n v="90"/>
    <n v="4.99"/>
    <n v="449.1"/>
  </r>
  <r>
    <x v="21"/>
    <x v="0"/>
    <x v="5"/>
    <x v="1"/>
    <n v="90"/>
    <n v="4.99"/>
    <n v="449.1"/>
  </r>
  <r>
    <x v="22"/>
    <x v="0"/>
    <x v="3"/>
    <x v="2"/>
    <n v="94"/>
    <n v="19.989999999999998"/>
    <n v="1879.06"/>
  </r>
  <r>
    <x v="23"/>
    <x v="0"/>
    <x v="1"/>
    <x v="4"/>
    <n v="96"/>
    <n v="4.99"/>
    <n v="479.04"/>
  </r>
  <r>
    <x v="24"/>
    <x v="1"/>
    <x v="6"/>
    <x v="2"/>
    <n v="4"/>
    <n v="4.99"/>
    <n v="19.96"/>
  </r>
  <r>
    <x v="25"/>
    <x v="1"/>
    <x v="7"/>
    <x v="3"/>
    <n v="15"/>
    <n v="19.989999999999998"/>
    <n v="299.84999999999997"/>
  </r>
  <r>
    <x v="26"/>
    <x v="1"/>
    <x v="6"/>
    <x v="4"/>
    <n v="16"/>
    <n v="15.99"/>
    <n v="255.84"/>
  </r>
  <r>
    <x v="27"/>
    <x v="1"/>
    <x v="8"/>
    <x v="2"/>
    <n v="29"/>
    <n v="1.99"/>
    <n v="57.71"/>
  </r>
  <r>
    <x v="28"/>
    <x v="1"/>
    <x v="6"/>
    <x v="1"/>
    <n v="35"/>
    <n v="4.99"/>
    <n v="174.65"/>
  </r>
  <r>
    <x v="29"/>
    <x v="1"/>
    <x v="6"/>
    <x v="2"/>
    <n v="60"/>
    <n v="4.99"/>
    <n v="299.40000000000003"/>
  </r>
  <r>
    <x v="30"/>
    <x v="1"/>
    <x v="6"/>
    <x v="2"/>
    <n v="60"/>
    <n v="8.99"/>
    <n v="539.4"/>
  </r>
  <r>
    <x v="31"/>
    <x v="1"/>
    <x v="6"/>
    <x v="4"/>
    <n v="62"/>
    <n v="4.99"/>
    <n v="309.38"/>
  </r>
  <r>
    <x v="32"/>
    <x v="1"/>
    <x v="6"/>
    <x v="3"/>
    <n v="64"/>
    <n v="8.99"/>
    <n v="575.36"/>
  </r>
  <r>
    <x v="33"/>
    <x v="1"/>
    <x v="7"/>
    <x v="4"/>
    <n v="74"/>
    <n v="15.99"/>
    <n v="1183.26"/>
  </r>
  <r>
    <x v="34"/>
    <x v="1"/>
    <x v="7"/>
    <x v="2"/>
    <n v="81"/>
    <n v="19.989999999999998"/>
    <n v="1619.1899999999998"/>
  </r>
  <r>
    <x v="35"/>
    <x v="1"/>
    <x v="6"/>
    <x v="1"/>
    <n v="95"/>
    <n v="1.99"/>
    <n v="189.05"/>
  </r>
  <r>
    <x v="36"/>
    <x v="1"/>
    <x v="8"/>
    <x v="3"/>
    <n v="96"/>
    <n v="4.99"/>
    <n v="479.04"/>
  </r>
  <r>
    <x v="37"/>
    <x v="2"/>
    <x v="9"/>
    <x v="0"/>
    <n v="3"/>
    <n v="275"/>
    <n v="825"/>
  </r>
  <r>
    <x v="38"/>
    <x v="2"/>
    <x v="9"/>
    <x v="2"/>
    <n v="7"/>
    <n v="19.989999999999998"/>
    <n v="139.92999999999998"/>
  </r>
  <r>
    <x v="39"/>
    <x v="2"/>
    <x v="10"/>
    <x v="1"/>
    <n v="32"/>
    <n v="1.99"/>
    <n v="63.68"/>
  </r>
  <r>
    <x v="40"/>
    <x v="2"/>
    <x v="9"/>
    <x v="1"/>
    <n v="56"/>
    <n v="2.99"/>
    <n v="167.44"/>
  </r>
  <r>
    <x v="41"/>
    <x v="2"/>
    <x v="10"/>
    <x v="2"/>
    <n v="57"/>
    <n v="19.989999999999998"/>
    <n v="1139.4299999999998"/>
  </r>
  <r>
    <x v="42"/>
    <x v="2"/>
    <x v="9"/>
    <x v="3"/>
    <n v="76"/>
    <n v="1.99"/>
    <n v="151.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m/>
    <x v="0"/>
    <m/>
    <m/>
    <m/>
    <x v="0"/>
    <m/>
    <m/>
    <m/>
    <x v="0"/>
  </r>
  <r>
    <x v="0"/>
    <x v="0"/>
    <m/>
    <x v="0"/>
    <m/>
    <m/>
    <m/>
    <x v="0"/>
    <m/>
    <m/>
    <m/>
    <x v="0"/>
  </r>
  <r>
    <x v="1"/>
    <x v="1"/>
    <n v="95800"/>
    <x v="1"/>
    <n v="13412"/>
    <n v="6706"/>
    <n v="118792"/>
    <x v="1"/>
    <n v="2375.84"/>
    <s v="Officer"/>
    <n v="16630.88"/>
    <x v="1"/>
  </r>
  <r>
    <x v="2"/>
    <x v="2"/>
    <n v="48500"/>
    <x v="2"/>
    <n v="6790"/>
    <n v="3395"/>
    <n v="60140"/>
    <x v="2"/>
    <n v="1202.8"/>
    <s v="Office Superintendent"/>
    <n v="8419.6"/>
    <x v="2"/>
  </r>
  <r>
    <x v="3"/>
    <x v="3"/>
    <n v="45300"/>
    <x v="3"/>
    <n v="6342"/>
    <n v="3171"/>
    <n v="56172"/>
    <x v="3"/>
    <n v="1123.44"/>
    <s v="Clerk"/>
    <n v="7864.08"/>
    <x v="3"/>
  </r>
  <r>
    <x v="4"/>
    <x v="4"/>
    <n v="3500"/>
    <x v="4"/>
    <n v="490"/>
    <n v="245"/>
    <n v="4340"/>
    <x v="4"/>
    <n v="86.8"/>
    <s v="Clerk"/>
    <n v="607.59999999999991"/>
    <x v="4"/>
  </r>
  <r>
    <x v="5"/>
    <x v="5"/>
    <n v="42500"/>
    <x v="5"/>
    <n v="5950"/>
    <n v="2975"/>
    <n v="52700"/>
    <x v="5"/>
    <n v="1054"/>
    <s v="Clerk"/>
    <n v="7378"/>
    <x v="5"/>
  </r>
  <r>
    <x v="6"/>
    <x v="6"/>
    <n v="82900"/>
    <x v="6"/>
    <n v="11606"/>
    <n v="5803"/>
    <n v="102796"/>
    <x v="6"/>
    <n v="2055.92"/>
    <s v="Asst Officer"/>
    <n v="14391.44"/>
    <x v="6"/>
  </r>
  <r>
    <x v="7"/>
    <x v="7"/>
    <n v="75500"/>
    <x v="7"/>
    <n v="10570"/>
    <n v="5285"/>
    <n v="93620"/>
    <x v="7"/>
    <n v="1872.4"/>
    <s v="Office Superintendent"/>
    <n v="13106.8"/>
    <x v="7"/>
  </r>
  <r>
    <x v="8"/>
    <x v="8"/>
    <n v="32500"/>
    <x v="8"/>
    <n v="4550"/>
    <n v="2275"/>
    <n v="40300"/>
    <x v="8"/>
    <n v="806"/>
    <s v="Clerk"/>
    <n v="5642"/>
    <x v="8"/>
  </r>
  <r>
    <x v="9"/>
    <x v="9"/>
    <n v="22800"/>
    <x v="9"/>
    <n v="3192"/>
    <n v="1596"/>
    <n v="28272"/>
    <x v="9"/>
    <n v="565.44000000000005"/>
    <s v="Clerk"/>
    <n v="3958.08"/>
    <x v="9"/>
  </r>
  <r>
    <x v="7"/>
    <x v="10"/>
    <n v="24500"/>
    <x v="10"/>
    <n v="3430"/>
    <n v="1715"/>
    <n v="30380"/>
    <x v="10"/>
    <n v="607.6"/>
    <s v="Clerk"/>
    <n v="4253.2"/>
    <x v="10"/>
  </r>
  <r>
    <x v="10"/>
    <x v="11"/>
    <n v="62800"/>
    <x v="11"/>
    <n v="8792"/>
    <n v="4396"/>
    <n v="77872"/>
    <x v="11"/>
    <n v="1557.44"/>
    <s v="Office Superintendent"/>
    <n v="10902.08"/>
    <x v="11"/>
  </r>
  <r>
    <x v="6"/>
    <x v="12"/>
    <n v="42800"/>
    <x v="12"/>
    <n v="5992"/>
    <n v="2996"/>
    <n v="53072"/>
    <x v="12"/>
    <n v="1061.44"/>
    <s v="Clerk"/>
    <n v="7430.08"/>
    <x v="12"/>
  </r>
  <r>
    <x v="11"/>
    <x v="13"/>
    <n v="52700"/>
    <x v="13"/>
    <n v="7378"/>
    <n v="3689"/>
    <n v="65348"/>
    <x v="13"/>
    <n v="1306.96"/>
    <s v="Office Superintendent"/>
    <n v="9148.7200000000012"/>
    <x v="13"/>
  </r>
  <r>
    <x v="12"/>
    <x v="14"/>
    <n v="55800"/>
    <x v="14"/>
    <n v="7812"/>
    <n v="3906"/>
    <n v="69192"/>
    <x v="14"/>
    <n v="1383.84"/>
    <s v="Office Superintendent"/>
    <n v="9686.880000000001"/>
    <x v="14"/>
  </r>
  <r>
    <x v="13"/>
    <x v="15"/>
    <n v="85200"/>
    <x v="15"/>
    <n v="11928"/>
    <n v="5964"/>
    <n v="105648"/>
    <x v="15"/>
    <n v="2112.96"/>
    <s v="Asst Officer"/>
    <n v="14790.720000000001"/>
    <x v="15"/>
  </r>
  <r>
    <x v="14"/>
    <x v="16"/>
    <n v="95700"/>
    <x v="16"/>
    <n v="13398"/>
    <n v="6699"/>
    <n v="118668"/>
    <x v="16"/>
    <n v="2373.36"/>
    <s v="Officer"/>
    <n v="16613.52"/>
    <x v="16"/>
  </r>
  <r>
    <x v="15"/>
    <x v="17"/>
    <n v="110500"/>
    <x v="17"/>
    <n v="15470"/>
    <n v="7735"/>
    <n v="137020"/>
    <x v="17"/>
    <n v="2740.4"/>
    <s v="Officer"/>
    <n v="19182.800000000003"/>
    <x v="17"/>
  </r>
  <r>
    <x v="16"/>
    <x v="18"/>
    <n v="62800"/>
    <x v="11"/>
    <n v="8792"/>
    <n v="4396"/>
    <n v="77872"/>
    <x v="11"/>
    <n v="1557.44"/>
    <s v="Office Superintendent"/>
    <n v="10902.08"/>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m/>
    <m/>
    <m/>
    <m/>
    <m/>
    <m/>
    <m/>
    <m/>
    <m/>
    <x v="0"/>
  </r>
  <r>
    <x v="0"/>
    <x v="0"/>
    <m/>
    <m/>
    <m/>
    <m/>
    <m/>
    <m/>
    <m/>
    <m/>
    <m/>
    <x v="0"/>
  </r>
  <r>
    <x v="1"/>
    <x v="1"/>
    <n v="95800"/>
    <n v="2874"/>
    <n v="13412"/>
    <n v="6706"/>
    <n v="118792"/>
    <n v="14255.04"/>
    <n v="2375.84"/>
    <n v="16630.88"/>
    <n v="102161.12"/>
    <x v="1"/>
  </r>
  <r>
    <x v="2"/>
    <x v="2"/>
    <n v="48500"/>
    <n v="1455"/>
    <n v="6790"/>
    <n v="3395"/>
    <n v="60140"/>
    <n v="7216.8"/>
    <n v="1202.8"/>
    <n v="8419.6"/>
    <n v="51720.4"/>
    <x v="1"/>
  </r>
  <r>
    <x v="3"/>
    <x v="3"/>
    <n v="45300"/>
    <n v="1359"/>
    <n v="6342"/>
    <n v="3171"/>
    <n v="56172"/>
    <n v="6740.64"/>
    <n v="1123.44"/>
    <n v="7864.08"/>
    <n v="48307.92"/>
    <x v="2"/>
  </r>
  <r>
    <x v="4"/>
    <x v="4"/>
    <n v="3500"/>
    <n v="105"/>
    <n v="490"/>
    <n v="245"/>
    <n v="4340"/>
    <n v="520.79999999999995"/>
    <n v="86.8"/>
    <n v="607.59999999999991"/>
    <n v="3732.4"/>
    <x v="2"/>
  </r>
  <r>
    <x v="5"/>
    <x v="5"/>
    <n v="42500"/>
    <n v="1275"/>
    <n v="5950"/>
    <n v="2975"/>
    <n v="52700"/>
    <n v="6324"/>
    <n v="1054"/>
    <n v="7378"/>
    <n v="45322"/>
    <x v="2"/>
  </r>
  <r>
    <x v="6"/>
    <x v="6"/>
    <n v="82900"/>
    <n v="2487"/>
    <n v="11606"/>
    <n v="5803"/>
    <n v="102796"/>
    <n v="12335.52"/>
    <n v="2055.92"/>
    <n v="14391.44"/>
    <n v="88404.56"/>
    <x v="1"/>
  </r>
  <r>
    <x v="7"/>
    <x v="7"/>
    <n v="75500"/>
    <n v="2265"/>
    <n v="10570"/>
    <n v="5285"/>
    <n v="93620"/>
    <n v="11234.4"/>
    <n v="1872.4"/>
    <n v="13106.8"/>
    <n v="80513.2"/>
    <x v="1"/>
  </r>
  <r>
    <x v="8"/>
    <x v="8"/>
    <n v="32500"/>
    <n v="975"/>
    <n v="4550"/>
    <n v="2275"/>
    <n v="40300"/>
    <n v="4836"/>
    <n v="806"/>
    <n v="5642"/>
    <n v="34658"/>
    <x v="2"/>
  </r>
  <r>
    <x v="9"/>
    <x v="9"/>
    <n v="22800"/>
    <n v="684"/>
    <n v="3192"/>
    <n v="1596"/>
    <n v="28272"/>
    <n v="3392.64"/>
    <n v="565.44000000000005"/>
    <n v="3958.08"/>
    <n v="24313.919999999998"/>
    <x v="2"/>
  </r>
  <r>
    <x v="10"/>
    <x v="10"/>
    <n v="24500"/>
    <n v="735"/>
    <n v="3430"/>
    <n v="1715"/>
    <n v="30380"/>
    <n v="3645.6"/>
    <n v="607.6"/>
    <n v="4253.2"/>
    <n v="26126.799999999999"/>
    <x v="2"/>
  </r>
  <r>
    <x v="11"/>
    <x v="11"/>
    <n v="62800"/>
    <n v="1884"/>
    <n v="8792"/>
    <n v="4396"/>
    <n v="77872"/>
    <n v="9344.64"/>
    <n v="1557.44"/>
    <n v="10902.08"/>
    <n v="66969.919999999998"/>
    <x v="1"/>
  </r>
  <r>
    <x v="6"/>
    <x v="12"/>
    <n v="42800"/>
    <n v="1284"/>
    <n v="5992"/>
    <n v="2996"/>
    <n v="53072"/>
    <n v="6368.64"/>
    <n v="1061.44"/>
    <n v="7430.08"/>
    <n v="45641.919999999998"/>
    <x v="2"/>
  </r>
  <r>
    <x v="12"/>
    <x v="13"/>
    <n v="52700"/>
    <n v="1581"/>
    <n v="7378"/>
    <n v="3689"/>
    <n v="65348"/>
    <n v="7841.76"/>
    <n v="1306.96"/>
    <n v="9148.7200000000012"/>
    <n v="56199.28"/>
    <x v="1"/>
  </r>
  <r>
    <x v="13"/>
    <x v="14"/>
    <n v="55800"/>
    <n v="1674"/>
    <n v="7812"/>
    <n v="3906"/>
    <n v="69192"/>
    <n v="8303.0400000000009"/>
    <n v="1383.84"/>
    <n v="9686.880000000001"/>
    <n v="59505.119999999995"/>
    <x v="1"/>
  </r>
  <r>
    <x v="14"/>
    <x v="15"/>
    <n v="85200"/>
    <n v="2556"/>
    <n v="11928"/>
    <n v="5964"/>
    <n v="105648"/>
    <n v="12677.76"/>
    <n v="2112.96"/>
    <n v="14790.720000000001"/>
    <n v="90857.279999999999"/>
    <x v="1"/>
  </r>
  <r>
    <x v="15"/>
    <x v="16"/>
    <n v="95700"/>
    <n v="2871"/>
    <n v="13398"/>
    <n v="6699"/>
    <n v="118668"/>
    <n v="14240.16"/>
    <n v="2373.36"/>
    <n v="16613.52"/>
    <n v="102054.48"/>
    <x v="1"/>
  </r>
  <r>
    <x v="16"/>
    <x v="17"/>
    <n v="110500"/>
    <n v="3315"/>
    <n v="15470"/>
    <n v="7735"/>
    <n v="137020"/>
    <n v="16442.400000000001"/>
    <n v="2740.4"/>
    <n v="19182.800000000003"/>
    <n v="117837.2"/>
    <x v="1"/>
  </r>
  <r>
    <x v="17"/>
    <x v="18"/>
    <n v="62800"/>
    <n v="1884"/>
    <n v="8792"/>
    <n v="4396"/>
    <n v="77872"/>
    <n v="9344.64"/>
    <n v="1557.44"/>
    <n v="10902.08"/>
    <n v="66969.91999999999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04274D-49C8-427D-AF13-FB6DABE4361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30:L133"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1"/>
        <item x="2"/>
        <item h="1" x="0"/>
        <item t="default"/>
      </items>
    </pivotField>
  </pivotFields>
  <rowFields count="1">
    <field x="11"/>
  </rowFields>
  <rowItems count="3">
    <i>
      <x/>
    </i>
    <i>
      <x v="1"/>
    </i>
    <i t="grand">
      <x/>
    </i>
  </rowItems>
  <colItems count="1">
    <i/>
  </colItems>
  <dataFields count="1">
    <dataField name="Count of Employee Name"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51FCF3-76F3-4735-82C1-A916012EACE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22:K125"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1"/>
        <item x="2"/>
        <item h="1" x="0"/>
        <item t="default"/>
      </items>
    </pivotField>
  </pivotFields>
  <rowFields count="1">
    <field x="11"/>
  </rowFields>
  <rowItems count="3">
    <i>
      <x/>
    </i>
    <i>
      <x v="1"/>
    </i>
    <i t="grand">
      <x/>
    </i>
  </rowItems>
  <colItems count="1">
    <i/>
  </colItems>
  <dataFields count="1">
    <dataField name="Count of Employee Name"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39C12D-5DDC-4606-8B74-FD1ABFD741E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117:H134" firstHeaderRow="1" firstDataRow="1" firstDataCol="1"/>
  <pivotFields count="12">
    <pivotField axis="axisRow" showAll="0">
      <items count="18">
        <item x="11"/>
        <item x="16"/>
        <item x="14"/>
        <item x="10"/>
        <item x="6"/>
        <item x="7"/>
        <item x="15"/>
        <item x="5"/>
        <item x="12"/>
        <item x="8"/>
        <item x="3"/>
        <item x="4"/>
        <item x="13"/>
        <item x="1"/>
        <item x="2"/>
        <item x="9"/>
        <item h="1" x="0"/>
        <item t="default"/>
      </items>
    </pivotField>
    <pivotField showAll="0">
      <items count="20">
        <item x="10"/>
        <item x="7"/>
        <item x="1"/>
        <item x="4"/>
        <item x="5"/>
        <item x="16"/>
        <item x="11"/>
        <item x="14"/>
        <item x="9"/>
        <item x="13"/>
        <item x="18"/>
        <item x="12"/>
        <item x="17"/>
        <item x="8"/>
        <item x="6"/>
        <item x="2"/>
        <item x="15"/>
        <item x="3"/>
        <item h="1" x="0"/>
        <item t="default"/>
      </items>
    </pivotField>
    <pivotField dataField="1" showAll="0"/>
    <pivotField showAll="0"/>
    <pivotField showAll="0"/>
    <pivotField showAll="0"/>
    <pivotField showAll="0"/>
    <pivotField showAll="0"/>
    <pivotField showAll="0"/>
    <pivotField showAll="0"/>
    <pivotField showAll="0"/>
    <pivotField showAll="0">
      <items count="19">
        <item x="4"/>
        <item x="9"/>
        <item x="10"/>
        <item x="8"/>
        <item x="5"/>
        <item x="12"/>
        <item x="3"/>
        <item x="2"/>
        <item x="13"/>
        <item x="14"/>
        <item x="11"/>
        <item x="7"/>
        <item x="6"/>
        <item x="15"/>
        <item x="16"/>
        <item x="1"/>
        <item x="17"/>
        <item x="0"/>
        <item t="default"/>
      </items>
    </pivotField>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Base Salary" fld="2" baseField="0" baseItem="0"/>
  </dataFields>
  <chartFormats count="34">
    <chartFormat chart="16" format="1"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0" count="1" selected="0">
            <x v="0"/>
          </reference>
        </references>
      </pivotArea>
    </chartFormat>
    <chartFormat chart="16" format="3">
      <pivotArea type="data" outline="0" fieldPosition="0">
        <references count="2">
          <reference field="4294967294" count="1" selected="0">
            <x v="0"/>
          </reference>
          <reference field="0" count="1" selected="0">
            <x v="1"/>
          </reference>
        </references>
      </pivotArea>
    </chartFormat>
    <chartFormat chart="16" format="4">
      <pivotArea type="data" outline="0" fieldPosition="0">
        <references count="2">
          <reference field="4294967294" count="1" selected="0">
            <x v="0"/>
          </reference>
          <reference field="0" count="1" selected="0">
            <x v="2"/>
          </reference>
        </references>
      </pivotArea>
    </chartFormat>
    <chartFormat chart="16" format="5">
      <pivotArea type="data" outline="0" fieldPosition="0">
        <references count="2">
          <reference field="4294967294" count="1" selected="0">
            <x v="0"/>
          </reference>
          <reference field="0" count="1" selected="0">
            <x v="3"/>
          </reference>
        </references>
      </pivotArea>
    </chartFormat>
    <chartFormat chart="16" format="6">
      <pivotArea type="data" outline="0" fieldPosition="0">
        <references count="2">
          <reference field="4294967294" count="1" selected="0">
            <x v="0"/>
          </reference>
          <reference field="0" count="1" selected="0">
            <x v="4"/>
          </reference>
        </references>
      </pivotArea>
    </chartFormat>
    <chartFormat chart="16" format="7">
      <pivotArea type="data" outline="0" fieldPosition="0">
        <references count="2">
          <reference field="4294967294" count="1" selected="0">
            <x v="0"/>
          </reference>
          <reference field="0" count="1" selected="0">
            <x v="5"/>
          </reference>
        </references>
      </pivotArea>
    </chartFormat>
    <chartFormat chart="16" format="8">
      <pivotArea type="data" outline="0" fieldPosition="0">
        <references count="2">
          <reference field="4294967294" count="1" selected="0">
            <x v="0"/>
          </reference>
          <reference field="0" count="1" selected="0">
            <x v="6"/>
          </reference>
        </references>
      </pivotArea>
    </chartFormat>
    <chartFormat chart="16" format="9">
      <pivotArea type="data" outline="0" fieldPosition="0">
        <references count="2">
          <reference field="4294967294" count="1" selected="0">
            <x v="0"/>
          </reference>
          <reference field="0" count="1" selected="0">
            <x v="7"/>
          </reference>
        </references>
      </pivotArea>
    </chartFormat>
    <chartFormat chart="16" format="10">
      <pivotArea type="data" outline="0" fieldPosition="0">
        <references count="2">
          <reference field="4294967294" count="1" selected="0">
            <x v="0"/>
          </reference>
          <reference field="0" count="1" selected="0">
            <x v="8"/>
          </reference>
        </references>
      </pivotArea>
    </chartFormat>
    <chartFormat chart="16" format="11">
      <pivotArea type="data" outline="0" fieldPosition="0">
        <references count="2">
          <reference field="4294967294" count="1" selected="0">
            <x v="0"/>
          </reference>
          <reference field="0" count="1" selected="0">
            <x v="9"/>
          </reference>
        </references>
      </pivotArea>
    </chartFormat>
    <chartFormat chart="16" format="12">
      <pivotArea type="data" outline="0" fieldPosition="0">
        <references count="2">
          <reference field="4294967294" count="1" selected="0">
            <x v="0"/>
          </reference>
          <reference field="0" count="1" selected="0">
            <x v="10"/>
          </reference>
        </references>
      </pivotArea>
    </chartFormat>
    <chartFormat chart="16" format="13">
      <pivotArea type="data" outline="0" fieldPosition="0">
        <references count="2">
          <reference field="4294967294" count="1" selected="0">
            <x v="0"/>
          </reference>
          <reference field="0" count="1" selected="0">
            <x v="11"/>
          </reference>
        </references>
      </pivotArea>
    </chartFormat>
    <chartFormat chart="16" format="14">
      <pivotArea type="data" outline="0" fieldPosition="0">
        <references count="2">
          <reference field="4294967294" count="1" selected="0">
            <x v="0"/>
          </reference>
          <reference field="0" count="1" selected="0">
            <x v="12"/>
          </reference>
        </references>
      </pivotArea>
    </chartFormat>
    <chartFormat chart="16" format="15">
      <pivotArea type="data" outline="0" fieldPosition="0">
        <references count="2">
          <reference field="4294967294" count="1" selected="0">
            <x v="0"/>
          </reference>
          <reference field="0" count="1" selected="0">
            <x v="13"/>
          </reference>
        </references>
      </pivotArea>
    </chartFormat>
    <chartFormat chart="16" format="16">
      <pivotArea type="data" outline="0" fieldPosition="0">
        <references count="2">
          <reference field="4294967294" count="1" selected="0">
            <x v="0"/>
          </reference>
          <reference field="0" count="1" selected="0">
            <x v="14"/>
          </reference>
        </references>
      </pivotArea>
    </chartFormat>
    <chartFormat chart="16" format="17">
      <pivotArea type="data" outline="0" fieldPosition="0">
        <references count="2">
          <reference field="4294967294" count="1" selected="0">
            <x v="0"/>
          </reference>
          <reference field="0" count="1" selected="0">
            <x v="15"/>
          </reference>
        </references>
      </pivotArea>
    </chartFormat>
    <chartFormat chart="0" format="8">
      <pivotArea type="data" outline="0" fieldPosition="0">
        <references count="2">
          <reference field="4294967294" count="1" selected="0">
            <x v="0"/>
          </reference>
          <reference field="0" count="1" selected="0">
            <x v="15"/>
          </reference>
        </references>
      </pivotArea>
    </chartFormat>
    <chartFormat chart="0" format="9">
      <pivotArea type="data" outline="0" fieldPosition="0">
        <references count="2">
          <reference field="4294967294" count="1" selected="0">
            <x v="0"/>
          </reference>
          <reference field="0" count="1" selected="0">
            <x v="14"/>
          </reference>
        </references>
      </pivotArea>
    </chartFormat>
    <chartFormat chart="0" format="10">
      <pivotArea type="data" outline="0" fieldPosition="0">
        <references count="2">
          <reference field="4294967294" count="1" selected="0">
            <x v="0"/>
          </reference>
          <reference field="0" count="1" selected="0">
            <x v="13"/>
          </reference>
        </references>
      </pivotArea>
    </chartFormat>
    <chartFormat chart="0" format="11">
      <pivotArea type="data" outline="0" fieldPosition="0">
        <references count="2">
          <reference field="4294967294" count="1" selected="0">
            <x v="0"/>
          </reference>
          <reference field="0" count="1" selected="0">
            <x v="12"/>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0"/>
          </reference>
        </references>
      </pivotArea>
    </chartFormat>
    <chartFormat chart="0" format="14">
      <pivotArea type="data" outline="0" fieldPosition="0">
        <references count="2">
          <reference field="4294967294" count="1" selected="0">
            <x v="0"/>
          </reference>
          <reference field="0" count="1" selected="0">
            <x v="9"/>
          </reference>
        </references>
      </pivotArea>
    </chartFormat>
    <chartFormat chart="0" format="15">
      <pivotArea type="data" outline="0" fieldPosition="0">
        <references count="2">
          <reference field="4294967294" count="1" selected="0">
            <x v="0"/>
          </reference>
          <reference field="0" count="1" selected="0">
            <x v="8"/>
          </reference>
        </references>
      </pivotArea>
    </chartFormat>
    <chartFormat chart="0" format="16">
      <pivotArea type="data" outline="0" fieldPosition="0">
        <references count="2">
          <reference field="4294967294" count="1" selected="0">
            <x v="0"/>
          </reference>
          <reference field="0" count="1" selected="0">
            <x v="7"/>
          </reference>
        </references>
      </pivotArea>
    </chartFormat>
    <chartFormat chart="0" format="17">
      <pivotArea type="data" outline="0" fieldPosition="0">
        <references count="2">
          <reference field="4294967294" count="1" selected="0">
            <x v="0"/>
          </reference>
          <reference field="0" count="1" selected="0">
            <x v="6"/>
          </reference>
        </references>
      </pivotArea>
    </chartFormat>
    <chartFormat chart="0" format="18">
      <pivotArea type="data" outline="0" fieldPosition="0">
        <references count="2">
          <reference field="4294967294" count="1" selected="0">
            <x v="0"/>
          </reference>
          <reference field="0" count="1" selected="0">
            <x v="5"/>
          </reference>
        </references>
      </pivotArea>
    </chartFormat>
    <chartFormat chart="0" format="19">
      <pivotArea type="data" outline="0" fieldPosition="0">
        <references count="2">
          <reference field="4294967294" count="1" selected="0">
            <x v="0"/>
          </reference>
          <reference field="0" count="1" selected="0">
            <x v="4"/>
          </reference>
        </references>
      </pivotArea>
    </chartFormat>
    <chartFormat chart="0" format="20">
      <pivotArea type="data" outline="0" fieldPosition="0">
        <references count="2">
          <reference field="4294967294" count="1" selected="0">
            <x v="0"/>
          </reference>
          <reference field="0" count="1" selected="0">
            <x v="3"/>
          </reference>
        </references>
      </pivotArea>
    </chartFormat>
    <chartFormat chart="0" format="21">
      <pivotArea type="data" outline="0" fieldPosition="0">
        <references count="2">
          <reference field="4294967294" count="1" selected="0">
            <x v="0"/>
          </reference>
          <reference field="0" count="1" selected="0">
            <x v="2"/>
          </reference>
        </references>
      </pivotArea>
    </chartFormat>
    <chartFormat chart="0" format="22">
      <pivotArea type="data" outline="0" fieldPosition="0">
        <references count="2">
          <reference field="4294967294" count="1" selected="0">
            <x v="0"/>
          </reference>
          <reference field="0" count="1" selected="0">
            <x v="1"/>
          </reference>
        </references>
      </pivotArea>
    </chartFormat>
    <chartFormat chart="0" format="2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71CEC0-C814-4A77-8E14-B173FD4203C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15:D132" firstHeaderRow="1" firstDataRow="1" firstDataCol="1"/>
  <pivotFields count="12">
    <pivotField axis="axisRow" showAll="0">
      <items count="18">
        <item x="11"/>
        <item x="16"/>
        <item x="14"/>
        <item x="10"/>
        <item x="6"/>
        <item x="7"/>
        <item x="15"/>
        <item x="5"/>
        <item x="12"/>
        <item x="8"/>
        <item x="3"/>
        <item x="4"/>
        <item x="13"/>
        <item x="1"/>
        <item x="2"/>
        <item x="9"/>
        <item h="1" x="0"/>
        <item t="default"/>
      </items>
    </pivotField>
    <pivotField showAll="0"/>
    <pivotField showAll="0"/>
    <pivotField showAll="0"/>
    <pivotField showAll="0"/>
    <pivotField showAll="0"/>
    <pivotField showAll="0"/>
    <pivotField dataField="1" showAll="0">
      <items count="19">
        <item x="4"/>
        <item x="9"/>
        <item x="10"/>
        <item x="8"/>
        <item x="5"/>
        <item x="12"/>
        <item x="3"/>
        <item x="2"/>
        <item x="13"/>
        <item x="14"/>
        <item x="11"/>
        <item x="7"/>
        <item x="6"/>
        <item x="15"/>
        <item x="16"/>
        <item x="1"/>
        <item x="17"/>
        <item x="0"/>
        <item t="default"/>
      </items>
    </pivotField>
    <pivotField showAll="0"/>
    <pivotField showAll="0"/>
    <pivotField showAll="0"/>
    <pivotField showAl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P F Deduction 12%" fld="7" baseField="0" baseItem="0"/>
  </dataFields>
  <chartFormats count="18">
    <chartFormat chart="0" format="17"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0" format="18">
      <pivotArea type="data" outline="0" fieldPosition="0">
        <references count="2">
          <reference field="4294967294" count="1" selected="0">
            <x v="0"/>
          </reference>
          <reference field="0" count="1" selected="0">
            <x v="0"/>
          </reference>
        </references>
      </pivotArea>
    </chartFormat>
    <chartFormat chart="0" format="19">
      <pivotArea type="data" outline="0" fieldPosition="0">
        <references count="2">
          <reference field="4294967294" count="1" selected="0">
            <x v="0"/>
          </reference>
          <reference field="0" count="1" selected="0">
            <x v="1"/>
          </reference>
        </references>
      </pivotArea>
    </chartFormat>
    <chartFormat chart="0" format="20">
      <pivotArea type="data" outline="0" fieldPosition="0">
        <references count="2">
          <reference field="4294967294" count="1" selected="0">
            <x v="0"/>
          </reference>
          <reference field="0" count="1" selected="0">
            <x v="2"/>
          </reference>
        </references>
      </pivotArea>
    </chartFormat>
    <chartFormat chart="0" format="21">
      <pivotArea type="data" outline="0" fieldPosition="0">
        <references count="2">
          <reference field="4294967294" count="1" selected="0">
            <x v="0"/>
          </reference>
          <reference field="0" count="1" selected="0">
            <x v="3"/>
          </reference>
        </references>
      </pivotArea>
    </chartFormat>
    <chartFormat chart="0" format="22">
      <pivotArea type="data" outline="0" fieldPosition="0">
        <references count="2">
          <reference field="4294967294" count="1" selected="0">
            <x v="0"/>
          </reference>
          <reference field="0" count="1" selected="0">
            <x v="4"/>
          </reference>
        </references>
      </pivotArea>
    </chartFormat>
    <chartFormat chart="0" format="23">
      <pivotArea type="data" outline="0" fieldPosition="0">
        <references count="2">
          <reference field="4294967294" count="1" selected="0">
            <x v="0"/>
          </reference>
          <reference field="0" count="1" selected="0">
            <x v="5"/>
          </reference>
        </references>
      </pivotArea>
    </chartFormat>
    <chartFormat chart="0" format="24">
      <pivotArea type="data" outline="0" fieldPosition="0">
        <references count="2">
          <reference field="4294967294" count="1" selected="0">
            <x v="0"/>
          </reference>
          <reference field="0" count="1" selected="0">
            <x v="6"/>
          </reference>
        </references>
      </pivotArea>
    </chartFormat>
    <chartFormat chart="0" format="25">
      <pivotArea type="data" outline="0" fieldPosition="0">
        <references count="2">
          <reference field="4294967294" count="1" selected="0">
            <x v="0"/>
          </reference>
          <reference field="0" count="1" selected="0">
            <x v="7"/>
          </reference>
        </references>
      </pivotArea>
    </chartFormat>
    <chartFormat chart="0" format="26">
      <pivotArea type="data" outline="0" fieldPosition="0">
        <references count="2">
          <reference field="4294967294" count="1" selected="0">
            <x v="0"/>
          </reference>
          <reference field="0" count="1" selected="0">
            <x v="8"/>
          </reference>
        </references>
      </pivotArea>
    </chartFormat>
    <chartFormat chart="0" format="27">
      <pivotArea type="data" outline="0" fieldPosition="0">
        <references count="2">
          <reference field="4294967294" count="1" selected="0">
            <x v="0"/>
          </reference>
          <reference field="0" count="1" selected="0">
            <x v="9"/>
          </reference>
        </references>
      </pivotArea>
    </chartFormat>
    <chartFormat chart="0" format="28">
      <pivotArea type="data" outline="0" fieldPosition="0">
        <references count="2">
          <reference field="4294967294" count="1" selected="0">
            <x v="0"/>
          </reference>
          <reference field="0" count="1" selected="0">
            <x v="10"/>
          </reference>
        </references>
      </pivotArea>
    </chartFormat>
    <chartFormat chart="0" format="29">
      <pivotArea type="data" outline="0" fieldPosition="0">
        <references count="2">
          <reference field="4294967294" count="1" selected="0">
            <x v="0"/>
          </reference>
          <reference field="0" count="1" selected="0">
            <x v="11"/>
          </reference>
        </references>
      </pivotArea>
    </chartFormat>
    <chartFormat chart="0" format="30">
      <pivotArea type="data" outline="0" fieldPosition="0">
        <references count="2">
          <reference field="4294967294" count="1" selected="0">
            <x v="0"/>
          </reference>
          <reference field="0" count="1" selected="0">
            <x v="12"/>
          </reference>
        </references>
      </pivotArea>
    </chartFormat>
    <chartFormat chart="0" format="31">
      <pivotArea type="data" outline="0" fieldPosition="0">
        <references count="2">
          <reference field="4294967294" count="1" selected="0">
            <x v="0"/>
          </reference>
          <reference field="0" count="1" selected="0">
            <x v="13"/>
          </reference>
        </references>
      </pivotArea>
    </chartFormat>
    <chartFormat chart="0" format="32">
      <pivotArea type="data" outline="0" fieldPosition="0">
        <references count="2">
          <reference field="4294967294" count="1" selected="0">
            <x v="0"/>
          </reference>
          <reference field="0" count="1" selected="0">
            <x v="14"/>
          </reference>
        </references>
      </pivotArea>
    </chartFormat>
    <chartFormat chart="0" format="33">
      <pivotArea type="data" outline="0" fieldPosition="0">
        <references count="2">
          <reference field="4294967294" count="1" selected="0">
            <x v="0"/>
          </reference>
          <reference field="0"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C5DC92-51C1-437E-86AB-1F71CC4D68D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4:G17" firstHeaderRow="1" firstDataRow="2" firstDataCol="1" rowPageCount="1" colPageCount="1"/>
  <pivotFields count="7">
    <pivotField numFmtId="166" showAll="0">
      <items count="44">
        <item x="35"/>
        <item x="11"/>
        <item x="8"/>
        <item x="5"/>
        <item x="40"/>
        <item x="29"/>
        <item x="17"/>
        <item x="20"/>
        <item x="39"/>
        <item x="30"/>
        <item x="21"/>
        <item x="27"/>
        <item x="34"/>
        <item x="28"/>
        <item x="0"/>
        <item x="26"/>
        <item x="6"/>
        <item x="32"/>
        <item x="25"/>
        <item x="23"/>
        <item x="16"/>
        <item x="33"/>
        <item x="10"/>
        <item x="19"/>
        <item x="24"/>
        <item x="38"/>
        <item x="12"/>
        <item x="15"/>
        <item x="36"/>
        <item x="13"/>
        <item x="18"/>
        <item x="1"/>
        <item x="31"/>
        <item x="14"/>
        <item x="9"/>
        <item x="37"/>
        <item x="2"/>
        <item x="42"/>
        <item x="41"/>
        <item x="4"/>
        <item x="3"/>
        <item x="22"/>
        <item x="7"/>
        <item t="default"/>
      </items>
    </pivotField>
    <pivotField axis="axisPage" showAll="0">
      <items count="4">
        <item x="0"/>
        <item x="1"/>
        <item x="2"/>
        <item t="default"/>
      </items>
    </pivotField>
    <pivotField axis="axisRow" showAll="0" sortType="ascending">
      <items count="12">
        <item x="4"/>
        <item x="2"/>
        <item x="8"/>
        <item x="3"/>
        <item x="6"/>
        <item x="1"/>
        <item x="5"/>
        <item x="7"/>
        <item x="0"/>
        <item x="9"/>
        <item x="10"/>
        <item t="default"/>
      </items>
    </pivotField>
    <pivotField axis="axisCol" showAll="0">
      <items count="6">
        <item x="2"/>
        <item x="0"/>
        <item x="3"/>
        <item x="4"/>
        <item x="1"/>
        <item t="default"/>
      </items>
    </pivotField>
    <pivotField showAll="0"/>
    <pivotField numFmtId="43" showAll="0"/>
    <pivotField dataField="1" numFmtId="43" showAll="0"/>
  </pivotFields>
  <rowFields count="1">
    <field x="2"/>
  </rowFields>
  <rowItems count="12">
    <i>
      <x/>
    </i>
    <i>
      <x v="1"/>
    </i>
    <i>
      <x v="2"/>
    </i>
    <i>
      <x v="3"/>
    </i>
    <i>
      <x v="4"/>
    </i>
    <i>
      <x v="5"/>
    </i>
    <i>
      <x v="6"/>
    </i>
    <i>
      <x v="7"/>
    </i>
    <i>
      <x v="8"/>
    </i>
    <i>
      <x v="9"/>
    </i>
    <i>
      <x v="10"/>
    </i>
    <i t="grand">
      <x/>
    </i>
  </rowItems>
  <colFields count="1">
    <field x="3"/>
  </colFields>
  <colItems count="6">
    <i>
      <x/>
    </i>
    <i>
      <x v="1"/>
    </i>
    <i>
      <x v="2"/>
    </i>
    <i>
      <x v="3"/>
    </i>
    <i>
      <x v="4"/>
    </i>
    <i t="grand">
      <x/>
    </i>
  </colItems>
  <pageFields count="1">
    <pageField fld="1" hier="-1"/>
  </pageFields>
  <dataFields count="1">
    <dataField name="Sum of Total" fld="6" baseField="0" baseItem="0"/>
  </dataFields>
  <chartFormats count="3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2" count="1" selected="0">
            <x v="2"/>
          </reference>
        </references>
      </pivotArea>
    </chartFormat>
    <chartFormat chart="0" format="8"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2" count="1" selected="0">
            <x v="4"/>
          </reference>
        </references>
      </pivotArea>
    </chartFormat>
    <chartFormat chart="0" format="10" series="1">
      <pivotArea type="data" outline="0" fieldPosition="0">
        <references count="2">
          <reference field="4294967294" count="1" selected="0">
            <x v="0"/>
          </reference>
          <reference field="2" count="1" selected="0">
            <x v="5"/>
          </reference>
        </references>
      </pivotArea>
    </chartFormat>
    <chartFormat chart="0" format="11" series="1">
      <pivotArea type="data" outline="0" fieldPosition="0">
        <references count="2">
          <reference field="4294967294" count="1" selected="0">
            <x v="0"/>
          </reference>
          <reference field="2" count="1" selected="0">
            <x v="6"/>
          </reference>
        </references>
      </pivotArea>
    </chartFormat>
    <chartFormat chart="0" format="12" series="1">
      <pivotArea type="data" outline="0" fieldPosition="0">
        <references count="2">
          <reference field="4294967294" count="1" selected="0">
            <x v="0"/>
          </reference>
          <reference field="2" count="1" selected="0">
            <x v="7"/>
          </reference>
        </references>
      </pivotArea>
    </chartFormat>
    <chartFormat chart="0" format="13" series="1">
      <pivotArea type="data" outline="0" fieldPosition="0">
        <references count="2">
          <reference field="4294967294" count="1" selected="0">
            <x v="0"/>
          </reference>
          <reference field="2" count="1" selected="0">
            <x v="8"/>
          </reference>
        </references>
      </pivotArea>
    </chartFormat>
    <chartFormat chart="0" format="14" series="1">
      <pivotArea type="data" outline="0" fieldPosition="0">
        <references count="2">
          <reference field="4294967294" count="1" selected="0">
            <x v="0"/>
          </reference>
          <reference field="2" count="1" selected="0">
            <x v="9"/>
          </reference>
        </references>
      </pivotArea>
    </chartFormat>
    <chartFormat chart="0" format="15" series="1">
      <pivotArea type="data" outline="0" fieldPosition="0">
        <references count="2">
          <reference field="4294967294" count="1" selected="0">
            <x v="0"/>
          </reference>
          <reference field="2" count="1" selected="0">
            <x v="10"/>
          </reference>
        </references>
      </pivotArea>
    </chartFormat>
    <chartFormat chart="0" format="16" series="1">
      <pivotArea type="data" outline="0" fieldPosition="0">
        <references count="3">
          <reference field="4294967294" count="1" selected="0">
            <x v="0"/>
          </reference>
          <reference field="2" count="1" selected="0">
            <x v="4"/>
          </reference>
          <reference field="3" count="1" selected="0">
            <x v="2"/>
          </reference>
        </references>
      </pivotArea>
    </chartFormat>
    <chartFormat chart="0" format="17" series="1">
      <pivotArea type="data" outline="0" fieldPosition="0">
        <references count="3">
          <reference field="4294967294" count="1" selected="0">
            <x v="0"/>
          </reference>
          <reference field="2" count="1" selected="0">
            <x v="4"/>
          </reference>
          <reference field="3" count="1" selected="0">
            <x v="3"/>
          </reference>
        </references>
      </pivotArea>
    </chartFormat>
    <chartFormat chart="0" format="18" series="1">
      <pivotArea type="data" outline="0" fieldPosition="0">
        <references count="3">
          <reference field="4294967294" count="1" selected="0">
            <x v="0"/>
          </reference>
          <reference field="2" count="1" selected="0">
            <x v="4"/>
          </reference>
          <reference field="3" count="1" selected="0">
            <x v="4"/>
          </reference>
        </references>
      </pivotArea>
    </chartFormat>
    <chartFormat chart="0" format="19" series="1">
      <pivotArea type="data" outline="0" fieldPosition="0">
        <references count="3">
          <reference field="4294967294" count="1" selected="0">
            <x v="0"/>
          </reference>
          <reference field="2" count="1" selected="0">
            <x v="5"/>
          </reference>
          <reference field="3" count="1" selected="0">
            <x v="0"/>
          </reference>
        </references>
      </pivotArea>
    </chartFormat>
    <chartFormat chart="0" format="20" series="1">
      <pivotArea type="data" outline="0" fieldPosition="0">
        <references count="3">
          <reference field="4294967294" count="1" selected="0">
            <x v="0"/>
          </reference>
          <reference field="2" count="1" selected="0">
            <x v="5"/>
          </reference>
          <reference field="3" count="1" selected="0">
            <x v="1"/>
          </reference>
        </references>
      </pivotArea>
    </chartFormat>
    <chartFormat chart="0" format="21" series="1">
      <pivotArea type="data" outline="0" fieldPosition="0">
        <references count="3">
          <reference field="4294967294" count="1" selected="0">
            <x v="0"/>
          </reference>
          <reference field="2" count="1" selected="0">
            <x v="5"/>
          </reference>
          <reference field="3" count="1" selected="0">
            <x v="3"/>
          </reference>
        </references>
      </pivotArea>
    </chartFormat>
    <chartFormat chart="0" format="22" series="1">
      <pivotArea type="data" outline="0" fieldPosition="0">
        <references count="3">
          <reference field="4294967294" count="1" selected="0">
            <x v="0"/>
          </reference>
          <reference field="2" count="1" selected="0">
            <x v="6"/>
          </reference>
          <reference field="3" count="1" selected="0">
            <x v="0"/>
          </reference>
        </references>
      </pivotArea>
    </chartFormat>
    <chartFormat chart="0" format="23" series="1">
      <pivotArea type="data" outline="0" fieldPosition="0">
        <references count="3">
          <reference field="4294967294" count="1" selected="0">
            <x v="0"/>
          </reference>
          <reference field="2" count="1" selected="0">
            <x v="6"/>
          </reference>
          <reference field="3" count="1" selected="0">
            <x v="3"/>
          </reference>
        </references>
      </pivotArea>
    </chartFormat>
    <chartFormat chart="0" format="24" series="1">
      <pivotArea type="data" outline="0" fieldPosition="0">
        <references count="3">
          <reference field="4294967294" count="1" selected="0">
            <x v="0"/>
          </reference>
          <reference field="2" count="1" selected="0">
            <x v="6"/>
          </reference>
          <reference field="3" count="1" selected="0">
            <x v="4"/>
          </reference>
        </references>
      </pivotArea>
    </chartFormat>
    <chartFormat chart="0" format="25" series="1">
      <pivotArea type="data" outline="0" fieldPosition="0">
        <references count="3">
          <reference field="4294967294" count="1" selected="0">
            <x v="0"/>
          </reference>
          <reference field="2" count="1" selected="0">
            <x v="7"/>
          </reference>
          <reference field="3" count="1" selected="0">
            <x v="0"/>
          </reference>
        </references>
      </pivotArea>
    </chartFormat>
    <chartFormat chart="0" format="26" series="1">
      <pivotArea type="data" outline="0" fieldPosition="0">
        <references count="3">
          <reference field="4294967294" count="1" selected="0">
            <x v="0"/>
          </reference>
          <reference field="2" count="1" selected="0">
            <x v="7"/>
          </reference>
          <reference field="3" count="1" selected="0">
            <x v="2"/>
          </reference>
        </references>
      </pivotArea>
    </chartFormat>
    <chartFormat chart="0" format="27" series="1">
      <pivotArea type="data" outline="0" fieldPosition="0">
        <references count="3">
          <reference field="4294967294" count="1" selected="0">
            <x v="0"/>
          </reference>
          <reference field="2" count="1" selected="0">
            <x v="7"/>
          </reference>
          <reference field="3" count="1" selected="0">
            <x v="3"/>
          </reference>
        </references>
      </pivotArea>
    </chartFormat>
    <chartFormat chart="0" format="28" series="1">
      <pivotArea type="data" outline="0" fieldPosition="0">
        <references count="3">
          <reference field="4294967294" count="1" selected="0">
            <x v="0"/>
          </reference>
          <reference field="2" count="1" selected="0">
            <x v="8"/>
          </reference>
          <reference field="3" count="1" selected="0">
            <x v="0"/>
          </reference>
        </references>
      </pivotArea>
    </chartFormat>
    <chartFormat chart="0" format="29" series="1">
      <pivotArea type="data" outline="0" fieldPosition="0">
        <references count="3">
          <reference field="4294967294" count="1" selected="0">
            <x v="0"/>
          </reference>
          <reference field="2" count="1" selected="0">
            <x v="8"/>
          </reference>
          <reference field="3" count="1" selected="0">
            <x v="1"/>
          </reference>
        </references>
      </pivotArea>
    </chartFormat>
    <chartFormat chart="0" format="30" series="1">
      <pivotArea type="data" outline="0" fieldPosition="0">
        <references count="3">
          <reference field="4294967294" count="1" selected="0">
            <x v="0"/>
          </reference>
          <reference field="2" count="1" selected="0">
            <x v="8"/>
          </reference>
          <reference field="3" count="1" selected="0">
            <x v="4"/>
          </reference>
        </references>
      </pivotArea>
    </chartFormat>
    <chartFormat chart="0" format="31" series="1">
      <pivotArea type="data" outline="0" fieldPosition="0">
        <references count="3">
          <reference field="4294967294" count="1" selected="0">
            <x v="0"/>
          </reference>
          <reference field="2" count="1" selected="0">
            <x v="9"/>
          </reference>
          <reference field="3" count="1" selected="0">
            <x v="0"/>
          </reference>
        </references>
      </pivotArea>
    </chartFormat>
    <chartFormat chart="0" format="32" series="1">
      <pivotArea type="data" outline="0" fieldPosition="0">
        <references count="3">
          <reference field="4294967294" count="1" selected="0">
            <x v="0"/>
          </reference>
          <reference field="2" count="1" selected="0">
            <x v="9"/>
          </reference>
          <reference field="3" count="1" selected="0">
            <x v="1"/>
          </reference>
        </references>
      </pivotArea>
    </chartFormat>
    <chartFormat chart="0" format="33" series="1">
      <pivotArea type="data" outline="0" fieldPosition="0">
        <references count="3">
          <reference field="4294967294" count="1" selected="0">
            <x v="0"/>
          </reference>
          <reference field="2" count="1" selected="0">
            <x v="9"/>
          </reference>
          <reference field="3" count="1" selected="0">
            <x v="2"/>
          </reference>
        </references>
      </pivotArea>
    </chartFormat>
    <chartFormat chart="0" format="34" series="1">
      <pivotArea type="data" outline="0" fieldPosition="0">
        <references count="3">
          <reference field="4294967294" count="1" selected="0">
            <x v="0"/>
          </reference>
          <reference field="2" count="1" selected="0">
            <x v="9"/>
          </reference>
          <reference field="3" count="1" selected="0">
            <x v="4"/>
          </reference>
        </references>
      </pivotArea>
    </chartFormat>
    <chartFormat chart="0" format="35" series="1">
      <pivotArea type="data" outline="0" fieldPosition="0">
        <references count="3">
          <reference field="4294967294" count="1" selected="0">
            <x v="0"/>
          </reference>
          <reference field="2" count="1" selected="0">
            <x v="10"/>
          </reference>
          <reference field="3" count="1" selected="0">
            <x v="0"/>
          </reference>
        </references>
      </pivotArea>
    </chartFormat>
    <chartFormat chart="0" format="36" series="1">
      <pivotArea type="data" outline="0" fieldPosition="0">
        <references count="3">
          <reference field="4294967294" count="1" selected="0">
            <x v="0"/>
          </reference>
          <reference field="2" count="1" selected="0">
            <x v="1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BE6E82-DD53-4434-ABB8-E34A8624FA0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6:O24" firstHeaderRow="0" firstDataRow="1" firstDataCol="1"/>
  <pivotFields count="12">
    <pivotField axis="axisRow" showAll="0">
      <items count="18">
        <item x="11"/>
        <item x="16"/>
        <item x="14"/>
        <item x="10"/>
        <item x="6"/>
        <item x="7"/>
        <item x="15"/>
        <item x="5"/>
        <item x="12"/>
        <item x="8"/>
        <item x="3"/>
        <item x="4"/>
        <item x="13"/>
        <item x="1"/>
        <item x="2"/>
        <item x="9"/>
        <item x="0"/>
        <item t="default"/>
      </items>
    </pivotField>
    <pivotField showAll="0">
      <items count="20">
        <item x="10"/>
        <item x="7"/>
        <item x="1"/>
        <item x="4"/>
        <item x="5"/>
        <item x="16"/>
        <item x="11"/>
        <item x="14"/>
        <item x="9"/>
        <item x="13"/>
        <item x="18"/>
        <item x="12"/>
        <item x="17"/>
        <item x="8"/>
        <item x="6"/>
        <item x="2"/>
        <item x="15"/>
        <item x="3"/>
        <item h="1" x="0"/>
        <item t="default"/>
      </items>
    </pivotField>
    <pivotField showAll="0"/>
    <pivotField dataField="1" showAll="0"/>
    <pivotField dataField="1" showAll="0"/>
    <pivotField showAll="0"/>
    <pivotField showAll="0"/>
    <pivotField showAll="0"/>
    <pivotField showAll="0"/>
    <pivotField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A3%" fld="3" baseField="0" baseItem="0"/>
    <dataField name="Sum of DA 14%" fld="4" baseField="0" baseItem="0"/>
  </dataFields>
  <chartFormats count="4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 chart="0" format="10">
      <pivotArea type="data" outline="0" fieldPosition="0">
        <references count="2">
          <reference field="4294967294" count="1" selected="0">
            <x v="0"/>
          </reference>
          <reference field="0" count="1" selected="0">
            <x v="7"/>
          </reference>
        </references>
      </pivotArea>
    </chartFormat>
    <chartFormat chart="0" format="11">
      <pivotArea type="data" outline="0" fieldPosition="0">
        <references count="2">
          <reference field="4294967294" count="1" selected="0">
            <x v="0"/>
          </reference>
          <reference field="0" count="1" selected="0">
            <x v="8"/>
          </reference>
        </references>
      </pivotArea>
    </chartFormat>
    <chartFormat chart="0" format="12">
      <pivotArea type="data" outline="0" fieldPosition="0">
        <references count="2">
          <reference field="4294967294" count="1" selected="0">
            <x v="0"/>
          </reference>
          <reference field="0" count="1" selected="0">
            <x v="9"/>
          </reference>
        </references>
      </pivotArea>
    </chartFormat>
    <chartFormat chart="0" format="13">
      <pivotArea type="data" outline="0" fieldPosition="0">
        <references count="2">
          <reference field="4294967294" count="1" selected="0">
            <x v="0"/>
          </reference>
          <reference field="0" count="1" selected="0">
            <x v="10"/>
          </reference>
        </references>
      </pivotArea>
    </chartFormat>
    <chartFormat chart="0" format="14">
      <pivotArea type="data" outline="0" fieldPosition="0">
        <references count="2">
          <reference field="4294967294" count="1" selected="0">
            <x v="0"/>
          </reference>
          <reference field="0" count="1" selected="0">
            <x v="11"/>
          </reference>
        </references>
      </pivotArea>
    </chartFormat>
    <chartFormat chart="0" format="15">
      <pivotArea type="data" outline="0" fieldPosition="0">
        <references count="2">
          <reference field="4294967294" count="1" selected="0">
            <x v="0"/>
          </reference>
          <reference field="0" count="1" selected="0">
            <x v="12"/>
          </reference>
        </references>
      </pivotArea>
    </chartFormat>
    <chartFormat chart="0" format="16">
      <pivotArea type="data" outline="0" fieldPosition="0">
        <references count="2">
          <reference field="4294967294" count="1" selected="0">
            <x v="0"/>
          </reference>
          <reference field="0" count="1" selected="0">
            <x v="13"/>
          </reference>
        </references>
      </pivotArea>
    </chartFormat>
    <chartFormat chart="0" format="17">
      <pivotArea type="data" outline="0" fieldPosition="0">
        <references count="2">
          <reference field="4294967294" count="1" selected="0">
            <x v="0"/>
          </reference>
          <reference field="0" count="1" selected="0">
            <x v="14"/>
          </reference>
        </references>
      </pivotArea>
    </chartFormat>
    <chartFormat chart="0" format="18">
      <pivotArea type="data" outline="0" fieldPosition="0">
        <references count="2">
          <reference field="4294967294" count="1" selected="0">
            <x v="0"/>
          </reference>
          <reference field="0" count="1" selected="0">
            <x v="15"/>
          </reference>
        </references>
      </pivotArea>
    </chartFormat>
    <chartFormat chart="0" format="19">
      <pivotArea type="data" outline="0" fieldPosition="0">
        <references count="2">
          <reference field="4294967294" count="1" selected="0">
            <x v="0"/>
          </reference>
          <reference field="0" count="1" selected="0">
            <x v="16"/>
          </reference>
        </references>
      </pivotArea>
    </chartFormat>
    <chartFormat chart="0" format="20">
      <pivotArea type="data" outline="0" fieldPosition="0">
        <references count="2">
          <reference field="4294967294" count="1" selected="0">
            <x v="1"/>
          </reference>
          <reference field="0" count="1" selected="0">
            <x v="0"/>
          </reference>
        </references>
      </pivotArea>
    </chartFormat>
    <chartFormat chart="0" format="21">
      <pivotArea type="data" outline="0" fieldPosition="0">
        <references count="2">
          <reference field="4294967294" count="1" selected="0">
            <x v="1"/>
          </reference>
          <reference field="0" count="1" selected="0">
            <x v="1"/>
          </reference>
        </references>
      </pivotArea>
    </chartFormat>
    <chartFormat chart="0" format="22">
      <pivotArea type="data" outline="0" fieldPosition="0">
        <references count="2">
          <reference field="4294967294" count="1" selected="0">
            <x v="1"/>
          </reference>
          <reference field="0" count="1" selected="0">
            <x v="2"/>
          </reference>
        </references>
      </pivotArea>
    </chartFormat>
    <chartFormat chart="0" format="23">
      <pivotArea type="data" outline="0" fieldPosition="0">
        <references count="2">
          <reference field="4294967294" count="1" selected="0">
            <x v="1"/>
          </reference>
          <reference field="0" count="1" selected="0">
            <x v="3"/>
          </reference>
        </references>
      </pivotArea>
    </chartFormat>
    <chartFormat chart="0" format="24">
      <pivotArea type="data" outline="0" fieldPosition="0">
        <references count="2">
          <reference field="4294967294" count="1" selected="0">
            <x v="1"/>
          </reference>
          <reference field="0" count="1" selected="0">
            <x v="4"/>
          </reference>
        </references>
      </pivotArea>
    </chartFormat>
    <chartFormat chart="0" format="25">
      <pivotArea type="data" outline="0" fieldPosition="0">
        <references count="2">
          <reference field="4294967294" count="1" selected="0">
            <x v="1"/>
          </reference>
          <reference field="0" count="1" selected="0">
            <x v="5"/>
          </reference>
        </references>
      </pivotArea>
    </chartFormat>
    <chartFormat chart="0" format="26">
      <pivotArea type="data" outline="0" fieldPosition="0">
        <references count="2">
          <reference field="4294967294" count="1" selected="0">
            <x v="1"/>
          </reference>
          <reference field="0" count="1" selected="0">
            <x v="6"/>
          </reference>
        </references>
      </pivotArea>
    </chartFormat>
    <chartFormat chart="0" format="27">
      <pivotArea type="data" outline="0" fieldPosition="0">
        <references count="2">
          <reference field="4294967294" count="1" selected="0">
            <x v="1"/>
          </reference>
          <reference field="0" count="1" selected="0">
            <x v="7"/>
          </reference>
        </references>
      </pivotArea>
    </chartFormat>
    <chartFormat chart="0" format="28">
      <pivotArea type="data" outline="0" fieldPosition="0">
        <references count="2">
          <reference field="4294967294" count="1" selected="0">
            <x v="1"/>
          </reference>
          <reference field="0" count="1" selected="0">
            <x v="8"/>
          </reference>
        </references>
      </pivotArea>
    </chartFormat>
    <chartFormat chart="0" format="29">
      <pivotArea type="data" outline="0" fieldPosition="0">
        <references count="2">
          <reference field="4294967294" count="1" selected="0">
            <x v="1"/>
          </reference>
          <reference field="0" count="1" selected="0">
            <x v="9"/>
          </reference>
        </references>
      </pivotArea>
    </chartFormat>
    <chartFormat chart="0" format="30">
      <pivotArea type="data" outline="0" fieldPosition="0">
        <references count="2">
          <reference field="4294967294" count="1" selected="0">
            <x v="1"/>
          </reference>
          <reference field="0" count="1" selected="0">
            <x v="10"/>
          </reference>
        </references>
      </pivotArea>
    </chartFormat>
    <chartFormat chart="0" format="31">
      <pivotArea type="data" outline="0" fieldPosition="0">
        <references count="2">
          <reference field="4294967294" count="1" selected="0">
            <x v="1"/>
          </reference>
          <reference field="0" count="1" selected="0">
            <x v="11"/>
          </reference>
        </references>
      </pivotArea>
    </chartFormat>
    <chartFormat chart="0" format="32">
      <pivotArea type="data" outline="0" fieldPosition="0">
        <references count="2">
          <reference field="4294967294" count="1" selected="0">
            <x v="1"/>
          </reference>
          <reference field="0" count="1" selected="0">
            <x v="12"/>
          </reference>
        </references>
      </pivotArea>
    </chartFormat>
    <chartFormat chart="0" format="33">
      <pivotArea type="data" outline="0" fieldPosition="0">
        <references count="2">
          <reference field="4294967294" count="1" selected="0">
            <x v="1"/>
          </reference>
          <reference field="0" count="1" selected="0">
            <x v="13"/>
          </reference>
        </references>
      </pivotArea>
    </chartFormat>
    <chartFormat chart="0" format="34">
      <pivotArea type="data" outline="0" fieldPosition="0">
        <references count="2">
          <reference field="4294967294" count="1" selected="0">
            <x v="1"/>
          </reference>
          <reference field="0" count="1" selected="0">
            <x v="14"/>
          </reference>
        </references>
      </pivotArea>
    </chartFormat>
    <chartFormat chart="0" format="35">
      <pivotArea type="data" outline="0" fieldPosition="0">
        <references count="2">
          <reference field="4294967294" count="1" selected="0">
            <x v="1"/>
          </reference>
          <reference field="0" count="1" selected="0">
            <x v="15"/>
          </reference>
        </references>
      </pivotArea>
    </chartFormat>
    <chartFormat chart="0" format="36">
      <pivotArea type="data" outline="0" fieldPosition="0">
        <references count="2">
          <reference field="4294967294" count="1" selected="0">
            <x v="1"/>
          </reference>
          <reference field="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6C78A6-0398-4FAB-971B-62AB199310E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11:P30" firstHeaderRow="1" firstDataRow="1" firstDataCol="1"/>
  <pivotFields count="12">
    <pivotField axis="axisRow" showAll="0">
      <items count="19">
        <item x="12"/>
        <item x="17"/>
        <item x="15"/>
        <item x="11"/>
        <item x="6"/>
        <item x="7"/>
        <item x="16"/>
        <item x="10"/>
        <item x="5"/>
        <item x="13"/>
        <item x="8"/>
        <item x="3"/>
        <item x="4"/>
        <item x="14"/>
        <item x="1"/>
        <item x="2"/>
        <item x="9"/>
        <item x="0"/>
        <item t="default"/>
      </items>
    </pivotField>
    <pivotField showAll="0">
      <items count="20">
        <item x="13"/>
        <item x="14"/>
        <item x="15"/>
        <item x="16"/>
        <item x="17"/>
        <item x="18"/>
        <item x="1"/>
        <item x="2"/>
        <item x="3"/>
        <item x="4"/>
        <item x="5"/>
        <item x="6"/>
        <item x="7"/>
        <item x="8"/>
        <item x="9"/>
        <item x="10"/>
        <item x="11"/>
        <item x="12"/>
        <item x="0"/>
        <item t="default"/>
      </items>
    </pivotField>
    <pivotField showAll="0"/>
    <pivotField showAll="0"/>
    <pivotField showAll="0"/>
    <pivotField dataField="1" showAll="0"/>
    <pivotField showAll="0"/>
    <pivotField showAll="0"/>
    <pivotField showAll="0"/>
    <pivotField showAll="0"/>
    <pivotField showAll="0"/>
    <pivotField showAll="0">
      <items count="4">
        <item x="1"/>
        <item x="2"/>
        <item h="1" x="0"/>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HRA 7%" fld="5"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5940CC5B-E1AB-4CD3-9BC9-46C1FB730A1D}" autoFormatId="16" applyNumberFormats="0" applyBorderFormats="0" applyFontFormats="0" applyPatternFormats="0" applyAlignmentFormats="0" applyWidthHeightFormats="0">
  <queryTableRefresh nextId="9">
    <queryTableFields count="8">
      <queryTableField id="1" name="ProductKey" tableColumnId="1"/>
      <queryTableField id="2" name="ProductName" tableColumnId="2"/>
      <queryTableField id="3" name="Color" tableColumnId="3"/>
      <queryTableField id="4" name="CategoryName" tableColumnId="4"/>
      <queryTableField id="5" name="SubcategoryName" tableColumnId="5"/>
      <queryTableField id="6" name="List Price" tableColumnId="6"/>
      <queryTableField id="7" name="Model" tableColumnId="7"/>
      <queryTableField id="8" name="Standard Cos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2D8C5FD-5FEE-4460-B202-97D14C448744}" autoFormatId="16" applyNumberFormats="0" applyBorderFormats="0" applyFontFormats="0" applyPatternFormats="0" applyAlignmentFormats="0" applyWidthHeightFormats="0">
  <queryTableRefresh nextId="21">
    <queryTableFields count="8">
      <queryTableField id="11" name="ProductKey" tableColumnId="11"/>
      <queryTableField id="12" name="ProductName" tableColumnId="12"/>
      <queryTableField id="13" name="Color" tableColumnId="13"/>
      <queryTableField id="14" name="CategoryName" tableColumnId="14"/>
      <queryTableField id="15" name="SubcategoryName" tableColumnId="15"/>
      <queryTableField id="16" name="List Price" tableColumnId="16"/>
      <queryTableField id="17" name="Model" tableColumnId="17"/>
      <queryTableField id="18" name="Standard Cos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 xr10:uid="{40499139-E5F7-496B-9A4B-60A67CDD47DE}" sourceName="Rep">
  <pivotTables>
    <pivotTable tabId="5" name="PivotTable4"/>
  </pivotTables>
  <data>
    <tabular pivotCacheId="923202189">
      <items count="11">
        <i x="1" s="1"/>
        <i x="4" s="1" nd="1"/>
        <i x="2" s="1" nd="1"/>
        <i x="8" s="1" nd="1"/>
        <i x="3" s="1" nd="1"/>
        <i x="6" s="1" nd="1"/>
        <i x="5" s="1" nd="1"/>
        <i x="7" s="1" nd="1"/>
        <i x="0" s="1" nd="1"/>
        <i x="9"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1770B1-B43B-48A5-9C53-57C0AA155173}" sourceName="Region">
  <pivotTables>
    <pivotTable tabId="5" name="PivotTable4"/>
  </pivotTables>
  <data>
    <tabular pivotCacheId="92320218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2FFBC0C8-FC45-4E35-813E-BB759409002D}" sourceName="Employee name">
  <pivotTables>
    <pivotTable tabId="8" name="PivotTable1"/>
  </pivotTables>
  <data>
    <tabular pivotCacheId="289056401">
      <items count="17">
        <i x="11" s="1"/>
        <i x="16" s="1"/>
        <i x="14" s="1"/>
        <i x="10" s="1"/>
        <i x="6" s="1"/>
        <i x="7" s="1"/>
        <i x="15" s="1"/>
        <i x="5" s="1"/>
        <i x="12" s="1"/>
        <i x="8" s="1"/>
        <i x="3" s="1"/>
        <i x="4" s="1"/>
        <i x="13" s="1"/>
        <i x="1" s="1"/>
        <i x="2" s="1"/>
        <i x="9"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 xr10:uid="{B9D7C848-2DBF-48F9-B45A-407BDA2C7E54}" cache="Slicer_Rep" caption="Rep" rowHeight="234950"/>
  <slicer name="Region" xr10:uid="{1E7193CA-7256-438E-A2D6-66EC2413C9A3}" cache="Slicer_Region" caption="Region"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9141F1EE-B6F6-40B5-8546-F2B680E95765}" cache="Slicer_Employee_name" caption="Employee name" style="SlicerStyleOther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6B20B6-000E-4EA0-B130-DA28F57245D2}" name="Table1" displayName="Table1" ref="A31:L52" totalsRowShown="0" headerRowDxfId="42" tableBorderDxfId="41">
  <autoFilter ref="A31:L52" xr:uid="{3F6B20B6-000E-4EA0-B130-DA28F57245D2}"/>
  <tableColumns count="12">
    <tableColumn id="1" xr3:uid="{247AE3C5-3EE7-4FF3-AF78-C3A4B72E0D9D}" name="Column1" dataDxfId="40"/>
    <tableColumn id="2" xr3:uid="{11B78BE3-9CDB-4249-9775-1F8B65A48300}" name="Column2" dataDxfId="39"/>
    <tableColumn id="3" xr3:uid="{B015DDC3-BBF2-4004-ABD7-8695310E8CF4}" name="Column3" dataDxfId="38"/>
    <tableColumn id="4" xr3:uid="{00248D2A-8DE2-44C0-B76E-1559675CE224}" name="Column4" dataDxfId="37">
      <calculatedColumnFormula>3*C32/100</calculatedColumnFormula>
    </tableColumn>
    <tableColumn id="5" xr3:uid="{6BD793EA-C112-432F-B9D0-0A3B50B311BC}" name="Column5" dataDxfId="36">
      <calculatedColumnFormula>C32*14/100</calculatedColumnFormula>
    </tableColumn>
    <tableColumn id="6" xr3:uid="{C701840A-4C4D-4893-B604-9FDC768606CB}" name="Column6" dataDxfId="35">
      <calculatedColumnFormula>C32*7/100</calculatedColumnFormula>
    </tableColumn>
    <tableColumn id="7" xr3:uid="{3E834A9C-3FF5-4A1D-8116-40B58A793487}" name="Column7" dataDxfId="34">
      <calculatedColumnFormula>C32+D32+E32+F32</calculatedColumnFormula>
    </tableColumn>
    <tableColumn id="8" xr3:uid="{50B0D68B-9767-4F6D-AF4B-E7A6F412D4D3}" name="Column8" dataDxfId="33">
      <calculatedColumnFormula>G32*12/100</calculatedColumnFormula>
    </tableColumn>
    <tableColumn id="9" xr3:uid="{052E54E9-5844-4882-A192-257EDFA93720}" name="Column9" dataDxfId="32">
      <calculatedColumnFormula>G32*2/100</calculatedColumnFormula>
    </tableColumn>
    <tableColumn id="10" xr3:uid="{C756B7FC-BFAD-4769-89B7-4C3E5F489AE8}" name="Column10" dataDxfId="31">
      <calculatedColumnFormula>IF(L32&lt;=50000,"Clerk",IF(L32&lt;=85000,"Office Superintendent",IF(L32&lt;=95000,"Asst Officer","Officer")))</calculatedColumnFormula>
    </tableColumn>
    <tableColumn id="11" xr3:uid="{E5ACD1EB-7818-47E3-92A8-D0A91F0FFC46}" name="Column11" dataDxfId="30">
      <calculatedColumnFormula>H32+I32</calculatedColumnFormula>
    </tableColumn>
    <tableColumn id="12" xr3:uid="{2515398B-2134-4CA8-863B-3236294EAF73}" name="Column12" dataDxfId="29">
      <calculatedColumnFormula>G32-K32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A4DCA1-6624-4FC7-B2C3-143CEE9A746F}" name="Products" displayName="Products" ref="A1:H398" tableType="queryTable" totalsRowShown="0">
  <autoFilter ref="A1:H398" xr:uid="{66A4DCA1-6624-4FC7-B2C3-143CEE9A746F}"/>
  <tableColumns count="8">
    <tableColumn id="1" xr3:uid="{473C4572-289B-4B07-92B4-85E48505E651}" uniqueName="1" name="ProductKey" queryTableFieldId="1" dataDxfId="28"/>
    <tableColumn id="2" xr3:uid="{40948279-91D6-4D1A-BD8A-8A4E99F4F9D3}" uniqueName="2" name="ProductName" queryTableFieldId="2" dataDxfId="27"/>
    <tableColumn id="3" xr3:uid="{CD53F7BC-8748-466E-84AA-D1E826473A32}" uniqueName="3" name="Color" queryTableFieldId="3" dataDxfId="26"/>
    <tableColumn id="4" xr3:uid="{E10D8F1A-CF3F-485B-8F53-4D1A496B2B75}" uniqueName="4" name="CategoryName" queryTableFieldId="4" dataDxfId="25"/>
    <tableColumn id="5" xr3:uid="{A102AAA5-330D-492B-AC0B-037083B814C6}" uniqueName="5" name="SubcategoryName" queryTableFieldId="5" dataDxfId="24"/>
    <tableColumn id="6" xr3:uid="{5062279D-0965-4BD5-8A5D-1FF1D2CAF505}" uniqueName="6" name="List Price" queryTableFieldId="6"/>
    <tableColumn id="7" xr3:uid="{BE834188-8B62-446E-A706-E26FA76D7367}" uniqueName="7" name="Model" queryTableFieldId="7" dataDxfId="23"/>
    <tableColumn id="8" xr3:uid="{DC9C6802-5DE0-47D1-98EF-38AEF700E31A}" uniqueName="8" name="Standard Cos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3BD541-3C4D-4C67-A2B0-4207FF4CD844}" name="Header" displayName="Header" ref="A1:H398" tableType="queryTable" totalsRowShown="0">
  <autoFilter ref="A1:H398" xr:uid="{403BD541-3C4D-4C67-A2B0-4207FF4CD844}"/>
  <tableColumns count="8">
    <tableColumn id="11" xr3:uid="{711DD4F6-C407-498A-B320-1A0C47DBA690}" uniqueName="11" name="ProductKey" queryTableFieldId="11"/>
    <tableColumn id="12" xr3:uid="{D88415AB-1F1C-4ACB-B747-94AC7E11F98A}" uniqueName="12" name="ProductName" queryTableFieldId="12" dataDxfId="22"/>
    <tableColumn id="13" xr3:uid="{740F22CF-EA5A-4336-A265-2FF5198210A0}" uniqueName="13" name="Color" queryTableFieldId="13" dataDxfId="21"/>
    <tableColumn id="14" xr3:uid="{3B8443A1-D852-4705-AC87-C4DF3A598818}" uniqueName="14" name="CategoryName" queryTableFieldId="14" dataDxfId="20"/>
    <tableColumn id="15" xr3:uid="{F4C23567-A1E6-44A1-B939-E5E4125EFDCF}" uniqueName="15" name="SubcategoryName" queryTableFieldId="15" dataDxfId="19"/>
    <tableColumn id="16" xr3:uid="{D1092B70-01F8-47F7-AFED-55D99BF020F4}" uniqueName="16" name="List Price" queryTableFieldId="16"/>
    <tableColumn id="17" xr3:uid="{E3365D01-0705-42A9-A2A3-53DC704B51C0}" uniqueName="17" name="Model" queryTableFieldId="17" dataDxfId="18"/>
    <tableColumn id="18" xr3:uid="{B44E43CF-2E0D-4CF4-8706-7BB56F25519B}" uniqueName="18" name="Standard Cost"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F3E52F15-71AC-43AC-A2F3-71E8CD1419F9}" sourceName="OrderDate">
  <pivotTables>
    <pivotTable tabId="5" name="PivotTable4"/>
  </pivotTables>
  <state minimalRefreshVersion="6" lastRefreshVersion="6" pivotCacheId="923202189" filterType="unknown">
    <bounds startDate="2014-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3C7689B3-BF32-4CBB-83DB-0C1A04B112CC}" cache="NativeTimeline_OrderDate" caption="OrderDate" level="2" selectionLevel="2" scrollPosition="2015-04-01T00:00:00"/>
  <timeline name="OrderDate 1" xr10:uid="{6A309765-2A92-482A-A898-216F3D7750B1}" cache="NativeTimeline_OrderDate" caption="OrderDate" level="3" selectionLevel="3" scrollPosition="2015-06-1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417A-E936-463E-848C-2362479F9BD7}">
  <sheetPr filterMode="1"/>
  <dimension ref="A6:P137"/>
  <sheetViews>
    <sheetView topLeftCell="G49" zoomScale="102" zoomScaleNormal="102" workbookViewId="0">
      <selection activeCell="A31" sqref="A31:L52"/>
    </sheetView>
  </sheetViews>
  <sheetFormatPr defaultColWidth="5.77734375" defaultRowHeight="14.4" x14ac:dyDescent="0.3"/>
  <cols>
    <col min="1" max="1" width="18.33203125" bestFit="1" customWidth="1"/>
    <col min="2" max="2" width="14.6640625" bestFit="1" customWidth="1"/>
    <col min="3" max="3" width="17.109375" bestFit="1" customWidth="1"/>
    <col min="4" max="4" width="23.6640625" style="20" bestFit="1" customWidth="1"/>
    <col min="5" max="5" width="17.44140625" bestFit="1" customWidth="1"/>
    <col min="6" max="6" width="17.21875" bestFit="1" customWidth="1"/>
    <col min="7" max="7" width="19.21875" bestFit="1" customWidth="1"/>
    <col min="8" max="8" width="22.77734375" bestFit="1" customWidth="1"/>
    <col min="9" max="9" width="23.77734375" bestFit="1" customWidth="1"/>
    <col min="10" max="10" width="14.21875" customWidth="1"/>
    <col min="11" max="12" width="23.109375" bestFit="1" customWidth="1"/>
    <col min="13" max="13" width="12.6640625" bestFit="1" customWidth="1"/>
    <col min="14" max="14" width="16.21875" bestFit="1" customWidth="1"/>
    <col min="15" max="15" width="17.33203125" bestFit="1" customWidth="1"/>
    <col min="16" max="16" width="12.77734375" bestFit="1" customWidth="1"/>
    <col min="17" max="17" width="13.5546875" bestFit="1" customWidth="1"/>
    <col min="18" max="18" width="14.21875" bestFit="1" customWidth="1"/>
    <col min="19" max="19" width="14.77734375" bestFit="1" customWidth="1"/>
    <col min="20" max="20" width="7" bestFit="1" customWidth="1"/>
    <col min="21" max="21" width="11" bestFit="1" customWidth="1"/>
  </cols>
  <sheetData>
    <row r="6" spans="1:16" x14ac:dyDescent="0.3">
      <c r="F6" s="1"/>
      <c r="L6" s="1"/>
    </row>
    <row r="13" spans="1:16" ht="18" customHeight="1" x14ac:dyDescent="0.3">
      <c r="A13" s="97" t="s">
        <v>0</v>
      </c>
      <c r="B13" s="100" t="s">
        <v>14</v>
      </c>
      <c r="C13" s="106" t="s">
        <v>15</v>
      </c>
      <c r="D13" s="107"/>
      <c r="E13" s="107"/>
      <c r="F13" s="107"/>
      <c r="G13" s="107"/>
      <c r="H13" s="108"/>
      <c r="I13" s="105" t="s">
        <v>1</v>
      </c>
      <c r="J13" s="112" t="s">
        <v>89</v>
      </c>
      <c r="K13" s="97" t="s">
        <v>17</v>
      </c>
      <c r="L13" s="97" t="s">
        <v>18</v>
      </c>
      <c r="M13" s="97" t="s">
        <v>22</v>
      </c>
      <c r="N13" s="100" t="s">
        <v>19</v>
      </c>
      <c r="O13" s="97" t="s">
        <v>20</v>
      </c>
      <c r="P13" s="97" t="s">
        <v>21</v>
      </c>
    </row>
    <row r="14" spans="1:16" ht="18" customHeight="1" x14ac:dyDescent="0.3">
      <c r="A14" s="98"/>
      <c r="B14" s="101"/>
      <c r="C14" s="109"/>
      <c r="D14" s="110"/>
      <c r="E14" s="110"/>
      <c r="F14" s="110"/>
      <c r="G14" s="110"/>
      <c r="H14" s="111"/>
      <c r="I14" s="105"/>
      <c r="J14" s="113"/>
      <c r="K14" s="98"/>
      <c r="L14" s="98"/>
      <c r="M14" s="98"/>
      <c r="N14" s="101"/>
      <c r="O14" s="98"/>
      <c r="P14" s="98"/>
    </row>
    <row r="15" spans="1:16" ht="18" customHeight="1" x14ac:dyDescent="0.3">
      <c r="A15" s="99"/>
      <c r="B15" s="102"/>
      <c r="C15" s="12" t="s">
        <v>2</v>
      </c>
      <c r="D15" s="19" t="s">
        <v>3</v>
      </c>
      <c r="E15" s="3" t="s">
        <v>4</v>
      </c>
      <c r="F15" s="3" t="s">
        <v>5</v>
      </c>
      <c r="G15" s="3" t="s">
        <v>16</v>
      </c>
      <c r="H15" s="11" t="s">
        <v>3</v>
      </c>
      <c r="I15" s="105"/>
      <c r="J15" s="114"/>
      <c r="K15" s="99"/>
      <c r="L15" s="99"/>
      <c r="M15" s="99"/>
      <c r="N15" s="102"/>
      <c r="O15" s="99"/>
      <c r="P15" s="99"/>
    </row>
    <row r="16" spans="1:16" ht="15.6" customHeight="1" x14ac:dyDescent="0.3">
      <c r="A16" s="4" t="s">
        <v>6</v>
      </c>
      <c r="B16" s="5">
        <v>12</v>
      </c>
      <c r="C16" s="5">
        <v>50</v>
      </c>
      <c r="D16" s="21">
        <v>96</v>
      </c>
      <c r="E16" s="7">
        <v>45</v>
      </c>
      <c r="F16" s="9">
        <v>66</v>
      </c>
      <c r="G16" s="5">
        <v>65</v>
      </c>
      <c r="H16" s="5">
        <v>78</v>
      </c>
      <c r="I16" s="5">
        <f t="shared" ref="I16:I27" si="0">SUM(C16:H16)</f>
        <v>400</v>
      </c>
      <c r="J16" s="5" t="str">
        <f>IF(I16&lt;400,"Faire","Good")</f>
        <v>Good</v>
      </c>
      <c r="K16" s="23">
        <f>I16*100/600</f>
        <v>66.666666666666671</v>
      </c>
      <c r="L16" s="53">
        <f t="shared" ref="L16:L27" si="1">AVERAGE(C16:H16)</f>
        <v>66.666666666666671</v>
      </c>
      <c r="M16" s="16" t="str">
        <f>IF(K16&gt;=85,"Honours",IF(K16&gt;=75,"A",IF(K16&gt;=60,"First",IF(K16&gt;=45,"Second",IF(K16&gt;=33,"Third","Fail")))))</f>
        <v>First</v>
      </c>
      <c r="N16" s="16">
        <f t="shared" ref="N16:N27" si="2">COUNT(C16:H16)</f>
        <v>6</v>
      </c>
      <c r="O16" s="17">
        <f t="shared" ref="O16:O27" si="3">MAX(C16:H16)</f>
        <v>96</v>
      </c>
      <c r="P16" s="16">
        <f t="shared" ref="P16:P27" si="4">MIN(C16:H16)</f>
        <v>45</v>
      </c>
    </row>
    <row r="17" spans="1:16" ht="15.6" x14ac:dyDescent="0.3">
      <c r="A17" s="2" t="s">
        <v>7</v>
      </c>
      <c r="B17" s="6">
        <v>13</v>
      </c>
      <c r="C17" s="6">
        <v>55</v>
      </c>
      <c r="D17" s="22">
        <v>69</v>
      </c>
      <c r="E17" s="8">
        <v>88</v>
      </c>
      <c r="F17" s="10">
        <v>23</v>
      </c>
      <c r="G17" s="6">
        <v>76</v>
      </c>
      <c r="H17" s="6">
        <v>89</v>
      </c>
      <c r="I17" s="5">
        <f t="shared" si="0"/>
        <v>400</v>
      </c>
      <c r="J17" s="5" t="str">
        <f t="shared" ref="J17:J27" si="5">IF(I17&lt;400,"Faire","Good")</f>
        <v>Good</v>
      </c>
      <c r="K17" s="23">
        <f t="shared" ref="K17:K27" si="6">I17*100/600</f>
        <v>66.666666666666671</v>
      </c>
      <c r="L17" s="23">
        <f t="shared" si="1"/>
        <v>66.666666666666671</v>
      </c>
      <c r="M17" s="16" t="str">
        <f t="shared" ref="M17:M27" si="7">IF(K17&gt;=85,"Honours",IF(K17&gt;=75,"A",IF(K17&gt;=60,"First",IF(K17&gt;=45,"Second",IF(K17&gt;=33,"Third","Fail")))))</f>
        <v>First</v>
      </c>
      <c r="N17" s="15">
        <f t="shared" si="2"/>
        <v>6</v>
      </c>
      <c r="O17" s="13">
        <f t="shared" si="3"/>
        <v>89</v>
      </c>
      <c r="P17" s="15">
        <f t="shared" si="4"/>
        <v>23</v>
      </c>
    </row>
    <row r="18" spans="1:16" ht="15.6" x14ac:dyDescent="0.3">
      <c r="A18" s="2" t="s">
        <v>57</v>
      </c>
      <c r="B18" s="6">
        <v>14</v>
      </c>
      <c r="C18" s="6">
        <v>55</v>
      </c>
      <c r="D18" s="22">
        <v>78</v>
      </c>
      <c r="E18" s="8">
        <v>98</v>
      </c>
      <c r="F18" s="10">
        <v>89</v>
      </c>
      <c r="G18" s="6">
        <v>54</v>
      </c>
      <c r="H18" s="6">
        <v>55</v>
      </c>
      <c r="I18" s="5">
        <f t="shared" si="0"/>
        <v>429</v>
      </c>
      <c r="J18" s="5" t="str">
        <f t="shared" si="5"/>
        <v>Good</v>
      </c>
      <c r="K18" s="23">
        <f t="shared" si="6"/>
        <v>71.5</v>
      </c>
      <c r="L18" s="23">
        <f t="shared" si="1"/>
        <v>71.5</v>
      </c>
      <c r="M18" s="16" t="str">
        <f t="shared" si="7"/>
        <v>First</v>
      </c>
      <c r="N18" s="15">
        <f t="shared" si="2"/>
        <v>6</v>
      </c>
      <c r="O18" s="13">
        <f t="shared" si="3"/>
        <v>98</v>
      </c>
      <c r="P18" s="15">
        <f t="shared" si="4"/>
        <v>54</v>
      </c>
    </row>
    <row r="19" spans="1:16" ht="15.6" x14ac:dyDescent="0.3">
      <c r="A19" s="2" t="s">
        <v>8</v>
      </c>
      <c r="B19" s="6">
        <v>15</v>
      </c>
      <c r="C19" s="6">
        <v>78</v>
      </c>
      <c r="D19" s="22">
        <v>65</v>
      </c>
      <c r="E19" s="8">
        <v>45</v>
      </c>
      <c r="F19" s="10">
        <v>56</v>
      </c>
      <c r="G19" s="6">
        <v>96</v>
      </c>
      <c r="H19" s="6">
        <v>85</v>
      </c>
      <c r="I19" s="5">
        <f t="shared" si="0"/>
        <v>425</v>
      </c>
      <c r="J19" s="5" t="str">
        <f t="shared" si="5"/>
        <v>Good</v>
      </c>
      <c r="K19" s="23">
        <f t="shared" si="6"/>
        <v>70.833333333333329</v>
      </c>
      <c r="L19" s="23">
        <f t="shared" si="1"/>
        <v>70.833333333333329</v>
      </c>
      <c r="M19" s="16" t="str">
        <f t="shared" si="7"/>
        <v>First</v>
      </c>
      <c r="N19" s="15">
        <f t="shared" si="2"/>
        <v>6</v>
      </c>
      <c r="O19" s="13">
        <f t="shared" si="3"/>
        <v>96</v>
      </c>
      <c r="P19" s="15">
        <f t="shared" si="4"/>
        <v>45</v>
      </c>
    </row>
    <row r="20" spans="1:16" ht="15.6" x14ac:dyDescent="0.3">
      <c r="A20" s="2" t="s">
        <v>9</v>
      </c>
      <c r="B20" s="6">
        <v>16</v>
      </c>
      <c r="C20" s="6">
        <v>89</v>
      </c>
      <c r="D20" s="22">
        <v>98</v>
      </c>
      <c r="E20" s="8">
        <v>65</v>
      </c>
      <c r="F20" s="10">
        <v>45</v>
      </c>
      <c r="G20" s="6">
        <v>65</v>
      </c>
      <c r="H20" s="6">
        <v>75</v>
      </c>
      <c r="I20" s="5">
        <f t="shared" si="0"/>
        <v>437</v>
      </c>
      <c r="J20" s="5" t="str">
        <f t="shared" si="5"/>
        <v>Good</v>
      </c>
      <c r="K20" s="23">
        <f t="shared" si="6"/>
        <v>72.833333333333329</v>
      </c>
      <c r="L20" s="23">
        <f t="shared" si="1"/>
        <v>72.833333333333329</v>
      </c>
      <c r="M20" s="16" t="str">
        <f t="shared" si="7"/>
        <v>First</v>
      </c>
      <c r="N20" s="15">
        <f t="shared" si="2"/>
        <v>6</v>
      </c>
      <c r="O20" s="13">
        <f t="shared" si="3"/>
        <v>98</v>
      </c>
      <c r="P20" s="15">
        <f t="shared" si="4"/>
        <v>45</v>
      </c>
    </row>
    <row r="21" spans="1:16" ht="15.6" x14ac:dyDescent="0.3">
      <c r="A21" s="2" t="s">
        <v>58</v>
      </c>
      <c r="B21" s="6">
        <v>17</v>
      </c>
      <c r="C21" s="6">
        <v>29</v>
      </c>
      <c r="D21" s="22">
        <v>29</v>
      </c>
      <c r="E21" s="8">
        <v>28</v>
      </c>
      <c r="F21" s="10">
        <v>26</v>
      </c>
      <c r="G21" s="6">
        <v>25</v>
      </c>
      <c r="H21" s="6">
        <v>24</v>
      </c>
      <c r="I21" s="5">
        <f t="shared" si="0"/>
        <v>161</v>
      </c>
      <c r="J21" s="5" t="str">
        <f t="shared" si="5"/>
        <v>Faire</v>
      </c>
      <c r="K21" s="23">
        <f t="shared" si="6"/>
        <v>26.833333333333332</v>
      </c>
      <c r="L21" s="23">
        <f t="shared" si="1"/>
        <v>26.833333333333332</v>
      </c>
      <c r="M21" s="16" t="str">
        <f t="shared" si="7"/>
        <v>Fail</v>
      </c>
      <c r="N21" s="15">
        <f t="shared" si="2"/>
        <v>6</v>
      </c>
      <c r="O21" s="13">
        <f t="shared" si="3"/>
        <v>29</v>
      </c>
      <c r="P21" s="15">
        <f t="shared" si="4"/>
        <v>24</v>
      </c>
    </row>
    <row r="22" spans="1:16" ht="15.6" x14ac:dyDescent="0.3">
      <c r="A22" s="2" t="s">
        <v>13</v>
      </c>
      <c r="B22" s="6">
        <v>18</v>
      </c>
      <c r="C22" s="6">
        <v>54</v>
      </c>
      <c r="D22" s="22">
        <v>75</v>
      </c>
      <c r="E22" s="8">
        <v>78</v>
      </c>
      <c r="F22" s="10">
        <v>89</v>
      </c>
      <c r="G22" s="6">
        <v>87</v>
      </c>
      <c r="H22" s="6">
        <v>85</v>
      </c>
      <c r="I22" s="5">
        <f t="shared" si="0"/>
        <v>468</v>
      </c>
      <c r="J22" s="5" t="str">
        <f t="shared" si="5"/>
        <v>Good</v>
      </c>
      <c r="K22" s="23">
        <f t="shared" si="6"/>
        <v>78</v>
      </c>
      <c r="L22" s="23">
        <f t="shared" si="1"/>
        <v>78</v>
      </c>
      <c r="M22" s="16" t="str">
        <f t="shared" si="7"/>
        <v>A</v>
      </c>
      <c r="N22" s="15">
        <f t="shared" si="2"/>
        <v>6</v>
      </c>
      <c r="O22" s="13">
        <f t="shared" si="3"/>
        <v>89</v>
      </c>
      <c r="P22" s="15">
        <f t="shared" si="4"/>
        <v>54</v>
      </c>
    </row>
    <row r="23" spans="1:16" ht="15.6" x14ac:dyDescent="0.3">
      <c r="A23" s="2" t="s">
        <v>10</v>
      </c>
      <c r="B23" s="6">
        <v>19</v>
      </c>
      <c r="C23" s="6">
        <v>83</v>
      </c>
      <c r="D23" s="22">
        <v>98</v>
      </c>
      <c r="E23" s="8">
        <v>95</v>
      </c>
      <c r="F23" s="10">
        <v>65</v>
      </c>
      <c r="G23" s="6">
        <v>94</v>
      </c>
      <c r="H23" s="6">
        <v>97</v>
      </c>
      <c r="I23" s="5">
        <f t="shared" si="0"/>
        <v>532</v>
      </c>
      <c r="J23" s="5" t="str">
        <f t="shared" si="5"/>
        <v>Good</v>
      </c>
      <c r="K23" s="23">
        <f t="shared" si="6"/>
        <v>88.666666666666671</v>
      </c>
      <c r="L23" s="23">
        <f t="shared" si="1"/>
        <v>88.666666666666671</v>
      </c>
      <c r="M23" s="16" t="str">
        <f t="shared" si="7"/>
        <v>Honours</v>
      </c>
      <c r="N23" s="15">
        <f t="shared" si="2"/>
        <v>6</v>
      </c>
      <c r="O23" s="13">
        <f t="shared" si="3"/>
        <v>98</v>
      </c>
      <c r="P23" s="15">
        <f t="shared" si="4"/>
        <v>65</v>
      </c>
    </row>
    <row r="24" spans="1:16" ht="15.6" x14ac:dyDescent="0.3">
      <c r="A24" s="2" t="s">
        <v>11</v>
      </c>
      <c r="B24" s="6">
        <v>20</v>
      </c>
      <c r="C24" s="6">
        <v>78</v>
      </c>
      <c r="D24" s="22">
        <v>74</v>
      </c>
      <c r="E24" s="8">
        <v>76</v>
      </c>
      <c r="F24" s="10">
        <v>72</v>
      </c>
      <c r="G24" s="6">
        <v>73</v>
      </c>
      <c r="H24" s="6">
        <v>77</v>
      </c>
      <c r="I24" s="5">
        <f t="shared" si="0"/>
        <v>450</v>
      </c>
      <c r="J24" s="5" t="str">
        <f t="shared" si="5"/>
        <v>Good</v>
      </c>
      <c r="K24" s="23">
        <f t="shared" si="6"/>
        <v>75</v>
      </c>
      <c r="L24" s="23">
        <f t="shared" si="1"/>
        <v>75</v>
      </c>
      <c r="M24" s="16" t="str">
        <f t="shared" si="7"/>
        <v>A</v>
      </c>
      <c r="N24" s="15">
        <f t="shared" si="2"/>
        <v>6</v>
      </c>
      <c r="O24" s="13">
        <f t="shared" si="3"/>
        <v>78</v>
      </c>
      <c r="P24" s="15">
        <f t="shared" si="4"/>
        <v>72</v>
      </c>
    </row>
    <row r="25" spans="1:16" ht="15.6" x14ac:dyDescent="0.3">
      <c r="A25" s="2" t="s">
        <v>13</v>
      </c>
      <c r="B25" s="6">
        <v>21</v>
      </c>
      <c r="C25" s="6">
        <v>95</v>
      </c>
      <c r="D25" s="22">
        <v>97</v>
      </c>
      <c r="E25" s="8">
        <v>94</v>
      </c>
      <c r="F25" s="10">
        <v>93</v>
      </c>
      <c r="G25" s="6">
        <v>96</v>
      </c>
      <c r="H25" s="6">
        <v>99</v>
      </c>
      <c r="I25" s="5">
        <f t="shared" si="0"/>
        <v>574</v>
      </c>
      <c r="J25" s="5" t="str">
        <f t="shared" si="5"/>
        <v>Good</v>
      </c>
      <c r="K25" s="23">
        <f t="shared" si="6"/>
        <v>95.666666666666671</v>
      </c>
      <c r="L25" s="23">
        <f t="shared" si="1"/>
        <v>95.666666666666671</v>
      </c>
      <c r="M25" s="16" t="str">
        <f t="shared" si="7"/>
        <v>Honours</v>
      </c>
      <c r="N25" s="15">
        <f t="shared" si="2"/>
        <v>6</v>
      </c>
      <c r="O25" s="13">
        <f t="shared" si="3"/>
        <v>99</v>
      </c>
      <c r="P25" s="15">
        <f t="shared" si="4"/>
        <v>93</v>
      </c>
    </row>
    <row r="26" spans="1:16" ht="15.6" x14ac:dyDescent="0.3">
      <c r="A26" s="2" t="s">
        <v>12</v>
      </c>
      <c r="B26" s="6">
        <v>22</v>
      </c>
      <c r="C26" s="6">
        <v>75</v>
      </c>
      <c r="D26" s="22">
        <v>78</v>
      </c>
      <c r="E26" s="8">
        <v>79</v>
      </c>
      <c r="F26" s="10">
        <v>71</v>
      </c>
      <c r="G26" s="6">
        <v>72</v>
      </c>
      <c r="H26" s="6">
        <v>73</v>
      </c>
      <c r="I26" s="5">
        <f t="shared" si="0"/>
        <v>448</v>
      </c>
      <c r="J26" s="5" t="str">
        <f t="shared" si="5"/>
        <v>Good</v>
      </c>
      <c r="K26" s="23">
        <f t="shared" si="6"/>
        <v>74.666666666666671</v>
      </c>
      <c r="L26" s="23">
        <f t="shared" si="1"/>
        <v>74.666666666666671</v>
      </c>
      <c r="M26" s="16" t="str">
        <f t="shared" si="7"/>
        <v>First</v>
      </c>
      <c r="N26" s="15">
        <f t="shared" si="2"/>
        <v>6</v>
      </c>
      <c r="O26" s="13">
        <f t="shared" si="3"/>
        <v>79</v>
      </c>
      <c r="P26" s="15">
        <f t="shared" si="4"/>
        <v>71</v>
      </c>
    </row>
    <row r="27" spans="1:16" ht="15.6" x14ac:dyDescent="0.3">
      <c r="A27" s="2" t="s">
        <v>58</v>
      </c>
      <c r="B27" s="6">
        <v>23</v>
      </c>
      <c r="C27" s="6">
        <v>88</v>
      </c>
      <c r="D27" s="22">
        <v>77</v>
      </c>
      <c r="E27" s="8">
        <v>95</v>
      </c>
      <c r="F27" s="10">
        <v>69</v>
      </c>
      <c r="G27" s="6">
        <v>99</v>
      </c>
      <c r="H27" s="6">
        <v>82</v>
      </c>
      <c r="I27" s="5">
        <f t="shared" si="0"/>
        <v>510</v>
      </c>
      <c r="J27" s="5" t="str">
        <f t="shared" si="5"/>
        <v>Good</v>
      </c>
      <c r="K27" s="23">
        <f t="shared" si="6"/>
        <v>85</v>
      </c>
      <c r="L27" s="23">
        <f t="shared" si="1"/>
        <v>85</v>
      </c>
      <c r="M27" s="16" t="str">
        <f t="shared" si="7"/>
        <v>Honours</v>
      </c>
      <c r="N27" s="15">
        <f t="shared" si="2"/>
        <v>6</v>
      </c>
      <c r="O27" s="13">
        <f t="shared" si="3"/>
        <v>99</v>
      </c>
      <c r="P27" s="15">
        <f t="shared" si="4"/>
        <v>69</v>
      </c>
    </row>
    <row r="31" spans="1:16" ht="18" customHeight="1" x14ac:dyDescent="0.3">
      <c r="A31" s="84" t="s">
        <v>519</v>
      </c>
      <c r="B31" s="79" t="s">
        <v>520</v>
      </c>
      <c r="C31" s="79" t="s">
        <v>521</v>
      </c>
      <c r="D31" s="85" t="s">
        <v>522</v>
      </c>
      <c r="E31" s="79" t="s">
        <v>523</v>
      </c>
      <c r="F31" s="79" t="s">
        <v>524</v>
      </c>
      <c r="G31" s="79" t="s">
        <v>525</v>
      </c>
      <c r="H31" s="79" t="s">
        <v>526</v>
      </c>
      <c r="I31" s="79" t="s">
        <v>527</v>
      </c>
      <c r="J31" s="78" t="s">
        <v>528</v>
      </c>
      <c r="K31" s="79" t="s">
        <v>529</v>
      </c>
      <c r="L31" s="86" t="s">
        <v>530</v>
      </c>
    </row>
    <row r="32" spans="1:16" ht="14.4" customHeight="1" x14ac:dyDescent="0.3">
      <c r="A32" s="80" t="s">
        <v>23</v>
      </c>
      <c r="B32" s="75" t="s">
        <v>38</v>
      </c>
      <c r="C32" s="75" t="s">
        <v>29</v>
      </c>
      <c r="D32" s="76" t="s">
        <v>37</v>
      </c>
      <c r="E32" s="75" t="s">
        <v>24</v>
      </c>
      <c r="F32" s="75" t="s">
        <v>25</v>
      </c>
      <c r="G32" s="75" t="s">
        <v>26</v>
      </c>
      <c r="H32" s="75" t="s">
        <v>27</v>
      </c>
      <c r="I32" s="75" t="s">
        <v>28</v>
      </c>
      <c r="J32" s="77" t="s">
        <v>90</v>
      </c>
      <c r="K32" s="75" t="s">
        <v>32</v>
      </c>
      <c r="L32" s="82" t="s">
        <v>507</v>
      </c>
    </row>
    <row r="33" spans="1:12" ht="18" customHeight="1" x14ac:dyDescent="0.3">
      <c r="A33" s="80"/>
      <c r="B33" s="75"/>
      <c r="C33" s="75"/>
      <c r="D33" s="76"/>
      <c r="E33" s="75"/>
      <c r="F33" s="75"/>
      <c r="G33" s="75"/>
      <c r="H33" s="75"/>
      <c r="I33" s="75"/>
      <c r="J33" s="78"/>
      <c r="K33" s="75"/>
      <c r="L33" s="82"/>
    </row>
    <row r="34" spans="1:12" ht="18" x14ac:dyDescent="0.3">
      <c r="A34" s="80"/>
      <c r="B34" s="75"/>
      <c r="C34" s="75"/>
      <c r="D34" s="76"/>
      <c r="E34" s="75"/>
      <c r="F34" s="75"/>
      <c r="G34" s="75"/>
      <c r="H34" s="75"/>
      <c r="I34" s="75"/>
      <c r="J34" s="79"/>
      <c r="K34" s="75"/>
      <c r="L34" s="82"/>
    </row>
    <row r="35" spans="1:12" ht="15.6" x14ac:dyDescent="0.3">
      <c r="A35" s="81" t="s">
        <v>6</v>
      </c>
      <c r="B35" s="18">
        <v>12355</v>
      </c>
      <c r="C35" s="61">
        <v>95800</v>
      </c>
      <c r="D35" s="62">
        <f>3*C35/100</f>
        <v>2874</v>
      </c>
      <c r="E35" s="63">
        <f>C35*14/100</f>
        <v>13412</v>
      </c>
      <c r="F35" s="63">
        <f>C35*7/100</f>
        <v>6706</v>
      </c>
      <c r="G35" s="61">
        <f>C35+D35+E35+F35</f>
        <v>118792</v>
      </c>
      <c r="H35" s="65">
        <f t="shared" ref="H35:H52" si="8">G35*12/100</f>
        <v>14255.04</v>
      </c>
      <c r="I35" s="66">
        <f t="shared" ref="I35:I52" si="9">G35*2/100</f>
        <v>2375.84</v>
      </c>
      <c r="J35" s="24" t="str">
        <f>IF(L35&lt;=50000,"Clerk",IF(L35&lt;=85000,"Office Superintendent",IF(L35&lt;=95000,"Asst Officer","Officer")))</f>
        <v>Officer</v>
      </c>
      <c r="K35" s="64">
        <f>H35+I35</f>
        <v>16630.88</v>
      </c>
      <c r="L35" s="83">
        <f t="shared" ref="L35:L52" si="10">G35-K35</f>
        <v>102161.12</v>
      </c>
    </row>
    <row r="36" spans="1:12" ht="15.6" x14ac:dyDescent="0.3">
      <c r="A36" s="81" t="s">
        <v>7</v>
      </c>
      <c r="B36" s="18">
        <v>12855</v>
      </c>
      <c r="C36" s="61">
        <v>48500</v>
      </c>
      <c r="D36" s="62">
        <f t="shared" ref="D36:D52" si="11">3*C36/100</f>
        <v>1455</v>
      </c>
      <c r="E36" s="63">
        <f t="shared" ref="E36:E52" si="12">C36*14/100</f>
        <v>6790</v>
      </c>
      <c r="F36" s="63">
        <f t="shared" ref="F36:F52" si="13">C36*7/100</f>
        <v>3395</v>
      </c>
      <c r="G36" s="61">
        <f t="shared" ref="G36:G52" si="14">C36+D36+E36+F36</f>
        <v>60140</v>
      </c>
      <c r="H36" s="65">
        <f t="shared" si="8"/>
        <v>7216.8</v>
      </c>
      <c r="I36" s="66">
        <f t="shared" si="9"/>
        <v>1202.8</v>
      </c>
      <c r="J36" s="24" t="str">
        <f t="shared" ref="J36:J52" si="15">IF(L36&lt;=50000,"Clerk",IF(L36&lt;=85000,"Office Superintendent",IF(L36&lt;=95000,"Asst Officer","Officer")))</f>
        <v>Office Superintendent</v>
      </c>
      <c r="K36" s="64">
        <f t="shared" ref="K36:K52" si="16">H36+I36</f>
        <v>8419.6</v>
      </c>
      <c r="L36" s="83">
        <f t="shared" si="10"/>
        <v>51720.4</v>
      </c>
    </row>
    <row r="37" spans="1:12" ht="15.6" x14ac:dyDescent="0.3">
      <c r="A37" s="81" t="s">
        <v>57</v>
      </c>
      <c r="B37" s="18">
        <v>14455</v>
      </c>
      <c r="C37" s="61">
        <v>45300</v>
      </c>
      <c r="D37" s="62">
        <f t="shared" si="11"/>
        <v>1359</v>
      </c>
      <c r="E37" s="63">
        <f t="shared" si="12"/>
        <v>6342</v>
      </c>
      <c r="F37" s="63">
        <f t="shared" si="13"/>
        <v>3171</v>
      </c>
      <c r="G37" s="61">
        <f t="shared" si="14"/>
        <v>56172</v>
      </c>
      <c r="H37" s="65">
        <f t="shared" si="8"/>
        <v>6740.64</v>
      </c>
      <c r="I37" s="66">
        <f t="shared" si="9"/>
        <v>1123.44</v>
      </c>
      <c r="J37" s="24" t="str">
        <f t="shared" si="15"/>
        <v>Clerk</v>
      </c>
      <c r="K37" s="64">
        <f t="shared" si="16"/>
        <v>7864.08</v>
      </c>
      <c r="L37" s="83">
        <f t="shared" si="10"/>
        <v>48307.92</v>
      </c>
    </row>
    <row r="38" spans="1:12" ht="15.6" x14ac:dyDescent="0.3">
      <c r="A38" s="81" t="s">
        <v>8</v>
      </c>
      <c r="B38" s="18">
        <v>12389</v>
      </c>
      <c r="C38" s="61">
        <v>3500</v>
      </c>
      <c r="D38" s="62">
        <f t="shared" si="11"/>
        <v>105</v>
      </c>
      <c r="E38" s="63">
        <f t="shared" si="12"/>
        <v>490</v>
      </c>
      <c r="F38" s="63">
        <f t="shared" si="13"/>
        <v>245</v>
      </c>
      <c r="G38" s="61">
        <f t="shared" si="14"/>
        <v>4340</v>
      </c>
      <c r="H38" s="65">
        <f t="shared" si="8"/>
        <v>520.79999999999995</v>
      </c>
      <c r="I38" s="66">
        <f t="shared" si="9"/>
        <v>86.8</v>
      </c>
      <c r="J38" s="24" t="str">
        <f t="shared" si="15"/>
        <v>Clerk</v>
      </c>
      <c r="K38" s="64">
        <f t="shared" si="16"/>
        <v>607.59999999999991</v>
      </c>
      <c r="L38" s="83">
        <f t="shared" si="10"/>
        <v>3732.4</v>
      </c>
    </row>
    <row r="39" spans="1:12" ht="15.6" x14ac:dyDescent="0.3">
      <c r="A39" s="81" t="s">
        <v>9</v>
      </c>
      <c r="B39" s="18">
        <v>12523</v>
      </c>
      <c r="C39" s="61">
        <v>42500</v>
      </c>
      <c r="D39" s="62">
        <f t="shared" si="11"/>
        <v>1275</v>
      </c>
      <c r="E39" s="63">
        <f t="shared" si="12"/>
        <v>5950</v>
      </c>
      <c r="F39" s="63">
        <f t="shared" si="13"/>
        <v>2975</v>
      </c>
      <c r="G39" s="61">
        <f t="shared" si="14"/>
        <v>52700</v>
      </c>
      <c r="H39" s="65">
        <f t="shared" si="8"/>
        <v>6324</v>
      </c>
      <c r="I39" s="66">
        <f t="shared" si="9"/>
        <v>1054</v>
      </c>
      <c r="J39" s="24" t="str">
        <f t="shared" si="15"/>
        <v>Clerk</v>
      </c>
      <c r="K39" s="64">
        <f t="shared" si="16"/>
        <v>7378</v>
      </c>
      <c r="L39" s="83">
        <f t="shared" si="10"/>
        <v>45322</v>
      </c>
    </row>
    <row r="40" spans="1:12" ht="15.6" x14ac:dyDescent="0.3">
      <c r="A40" s="81" t="s">
        <v>58</v>
      </c>
      <c r="B40" s="18">
        <v>12745</v>
      </c>
      <c r="C40" s="61">
        <v>82900</v>
      </c>
      <c r="D40" s="62">
        <f t="shared" si="11"/>
        <v>2487</v>
      </c>
      <c r="E40" s="63">
        <f t="shared" si="12"/>
        <v>11606</v>
      </c>
      <c r="F40" s="63">
        <f t="shared" si="13"/>
        <v>5803</v>
      </c>
      <c r="G40" s="61">
        <f t="shared" si="14"/>
        <v>102796</v>
      </c>
      <c r="H40" s="65">
        <f t="shared" si="8"/>
        <v>12335.52</v>
      </c>
      <c r="I40" s="66">
        <f t="shared" si="9"/>
        <v>2055.92</v>
      </c>
      <c r="J40" s="24" t="str">
        <f t="shared" si="15"/>
        <v>Asst Officer</v>
      </c>
      <c r="K40" s="64">
        <f t="shared" si="16"/>
        <v>14391.44</v>
      </c>
      <c r="L40" s="83">
        <f t="shared" si="10"/>
        <v>88404.56</v>
      </c>
    </row>
    <row r="41" spans="1:12" ht="15.6" x14ac:dyDescent="0.3">
      <c r="A41" s="81" t="s">
        <v>13</v>
      </c>
      <c r="B41" s="18">
        <v>12278</v>
      </c>
      <c r="C41" s="61">
        <v>75500</v>
      </c>
      <c r="D41" s="62">
        <f t="shared" si="11"/>
        <v>2265</v>
      </c>
      <c r="E41" s="63">
        <f t="shared" si="12"/>
        <v>10570</v>
      </c>
      <c r="F41" s="63">
        <f t="shared" si="13"/>
        <v>5285</v>
      </c>
      <c r="G41" s="61">
        <f t="shared" si="14"/>
        <v>93620</v>
      </c>
      <c r="H41" s="65">
        <f t="shared" si="8"/>
        <v>11234.4</v>
      </c>
      <c r="I41" s="66">
        <f t="shared" si="9"/>
        <v>1872.4</v>
      </c>
      <c r="J41" s="24" t="str">
        <f t="shared" si="15"/>
        <v>Office Superintendent</v>
      </c>
      <c r="K41" s="64">
        <f t="shared" si="16"/>
        <v>13106.8</v>
      </c>
      <c r="L41" s="83">
        <f t="shared" si="10"/>
        <v>80513.2</v>
      </c>
    </row>
    <row r="42" spans="1:12" ht="15.6" x14ac:dyDescent="0.3">
      <c r="A42" s="81" t="s">
        <v>10</v>
      </c>
      <c r="B42" s="18">
        <v>12599</v>
      </c>
      <c r="C42" s="61">
        <v>32500</v>
      </c>
      <c r="D42" s="62">
        <f t="shared" si="11"/>
        <v>975</v>
      </c>
      <c r="E42" s="63">
        <f t="shared" si="12"/>
        <v>4550</v>
      </c>
      <c r="F42" s="63">
        <f t="shared" si="13"/>
        <v>2275</v>
      </c>
      <c r="G42" s="61">
        <f t="shared" si="14"/>
        <v>40300</v>
      </c>
      <c r="H42" s="65">
        <f t="shared" si="8"/>
        <v>4836</v>
      </c>
      <c r="I42" s="66">
        <f t="shared" si="9"/>
        <v>806</v>
      </c>
      <c r="J42" s="24" t="str">
        <f t="shared" si="15"/>
        <v>Clerk</v>
      </c>
      <c r="K42" s="64">
        <f t="shared" si="16"/>
        <v>5642</v>
      </c>
      <c r="L42" s="83">
        <f t="shared" si="10"/>
        <v>34658</v>
      </c>
    </row>
    <row r="43" spans="1:12" ht="15.6" x14ac:dyDescent="0.3">
      <c r="A43" s="81" t="s">
        <v>11</v>
      </c>
      <c r="B43" s="18">
        <v>12577</v>
      </c>
      <c r="C43" s="61">
        <v>22800</v>
      </c>
      <c r="D43" s="62">
        <f t="shared" si="11"/>
        <v>684</v>
      </c>
      <c r="E43" s="63">
        <f t="shared" si="12"/>
        <v>3192</v>
      </c>
      <c r="F43" s="63">
        <f t="shared" si="13"/>
        <v>1596</v>
      </c>
      <c r="G43" s="61">
        <f t="shared" si="14"/>
        <v>28272</v>
      </c>
      <c r="H43" s="65">
        <f t="shared" si="8"/>
        <v>3392.64</v>
      </c>
      <c r="I43" s="66">
        <f t="shared" si="9"/>
        <v>565.44000000000005</v>
      </c>
      <c r="J43" s="24" t="str">
        <f t="shared" si="15"/>
        <v>Clerk</v>
      </c>
      <c r="K43" s="64">
        <f t="shared" si="16"/>
        <v>3958.08</v>
      </c>
      <c r="L43" s="83">
        <f t="shared" si="10"/>
        <v>24313.919999999998</v>
      </c>
    </row>
    <row r="44" spans="1:12" ht="15.6" x14ac:dyDescent="0.3">
      <c r="A44" s="81" t="s">
        <v>13</v>
      </c>
      <c r="B44" s="18">
        <v>11285</v>
      </c>
      <c r="C44" s="61">
        <v>24500</v>
      </c>
      <c r="D44" s="62">
        <f t="shared" si="11"/>
        <v>735</v>
      </c>
      <c r="E44" s="63">
        <f t="shared" si="12"/>
        <v>3430</v>
      </c>
      <c r="F44" s="63">
        <f t="shared" si="13"/>
        <v>1715</v>
      </c>
      <c r="G44" s="61">
        <f t="shared" si="14"/>
        <v>30380</v>
      </c>
      <c r="H44" s="65">
        <f t="shared" si="8"/>
        <v>3645.6</v>
      </c>
      <c r="I44" s="66">
        <f t="shared" si="9"/>
        <v>607.6</v>
      </c>
      <c r="J44" s="24" t="str">
        <f t="shared" si="15"/>
        <v>Clerk</v>
      </c>
      <c r="K44" s="64">
        <f t="shared" si="16"/>
        <v>4253.2</v>
      </c>
      <c r="L44" s="83">
        <f t="shared" si="10"/>
        <v>26126.799999999999</v>
      </c>
    </row>
    <row r="45" spans="1:12" ht="15.6" x14ac:dyDescent="0.3">
      <c r="A45" s="81" t="s">
        <v>12</v>
      </c>
      <c r="B45" s="18">
        <v>12566</v>
      </c>
      <c r="C45" s="61">
        <v>62800</v>
      </c>
      <c r="D45" s="62">
        <f t="shared" si="11"/>
        <v>1884</v>
      </c>
      <c r="E45" s="63">
        <f t="shared" si="12"/>
        <v>8792</v>
      </c>
      <c r="F45" s="63">
        <f t="shared" si="13"/>
        <v>4396</v>
      </c>
      <c r="G45" s="61">
        <f t="shared" si="14"/>
        <v>77872</v>
      </c>
      <c r="H45" s="65">
        <f t="shared" si="8"/>
        <v>9344.64</v>
      </c>
      <c r="I45" s="66">
        <f t="shared" si="9"/>
        <v>1557.44</v>
      </c>
      <c r="J45" s="24" t="str">
        <f t="shared" si="15"/>
        <v>Office Superintendent</v>
      </c>
      <c r="K45" s="64">
        <f t="shared" si="16"/>
        <v>10902.08</v>
      </c>
      <c r="L45" s="83">
        <f t="shared" si="10"/>
        <v>66969.919999999998</v>
      </c>
    </row>
    <row r="46" spans="1:12" ht="15.6" x14ac:dyDescent="0.3">
      <c r="A46" s="81" t="s">
        <v>58</v>
      </c>
      <c r="B46" s="18">
        <v>12589</v>
      </c>
      <c r="C46" s="61">
        <v>42800</v>
      </c>
      <c r="D46" s="62">
        <f t="shared" si="11"/>
        <v>1284</v>
      </c>
      <c r="E46" s="63">
        <f t="shared" si="12"/>
        <v>5992</v>
      </c>
      <c r="F46" s="63">
        <f t="shared" si="13"/>
        <v>2996</v>
      </c>
      <c r="G46" s="61">
        <f t="shared" si="14"/>
        <v>53072</v>
      </c>
      <c r="H46" s="65">
        <f t="shared" si="8"/>
        <v>6368.64</v>
      </c>
      <c r="I46" s="66">
        <f t="shared" si="9"/>
        <v>1061.44</v>
      </c>
      <c r="J46" s="24" t="str">
        <f t="shared" si="15"/>
        <v>Clerk</v>
      </c>
      <c r="K46" s="64">
        <f t="shared" si="16"/>
        <v>7430.08</v>
      </c>
      <c r="L46" s="83">
        <f t="shared" si="10"/>
        <v>45641.919999999998</v>
      </c>
    </row>
    <row r="47" spans="1:12" ht="15.6" x14ac:dyDescent="0.3">
      <c r="A47" s="81" t="s">
        <v>30</v>
      </c>
      <c r="B47" s="18">
        <v>12578</v>
      </c>
      <c r="C47" s="61">
        <v>52700</v>
      </c>
      <c r="D47" s="62">
        <f t="shared" si="11"/>
        <v>1581</v>
      </c>
      <c r="E47" s="63">
        <f t="shared" si="12"/>
        <v>7378</v>
      </c>
      <c r="F47" s="63">
        <f t="shared" si="13"/>
        <v>3689</v>
      </c>
      <c r="G47" s="61">
        <f t="shared" si="14"/>
        <v>65348</v>
      </c>
      <c r="H47" s="65">
        <f t="shared" si="8"/>
        <v>7841.76</v>
      </c>
      <c r="I47" s="66">
        <f t="shared" si="9"/>
        <v>1306.96</v>
      </c>
      <c r="J47" s="24" t="str">
        <f t="shared" si="15"/>
        <v>Office Superintendent</v>
      </c>
      <c r="K47" s="64">
        <f t="shared" si="16"/>
        <v>9148.7200000000012</v>
      </c>
      <c r="L47" s="83">
        <f t="shared" si="10"/>
        <v>56199.28</v>
      </c>
    </row>
    <row r="48" spans="1:12" ht="15.6" x14ac:dyDescent="0.3">
      <c r="A48" s="81" t="s">
        <v>31</v>
      </c>
      <c r="B48" s="18">
        <v>12574</v>
      </c>
      <c r="C48" s="61">
        <v>55800</v>
      </c>
      <c r="D48" s="62">
        <f t="shared" si="11"/>
        <v>1674</v>
      </c>
      <c r="E48" s="63">
        <f t="shared" si="12"/>
        <v>7812</v>
      </c>
      <c r="F48" s="63">
        <f t="shared" si="13"/>
        <v>3906</v>
      </c>
      <c r="G48" s="61">
        <f t="shared" si="14"/>
        <v>69192</v>
      </c>
      <c r="H48" s="65">
        <f t="shared" si="8"/>
        <v>8303.0400000000009</v>
      </c>
      <c r="I48" s="66">
        <f t="shared" si="9"/>
        <v>1383.84</v>
      </c>
      <c r="J48" s="24" t="str">
        <f t="shared" si="15"/>
        <v>Office Superintendent</v>
      </c>
      <c r="K48" s="64">
        <f t="shared" si="16"/>
        <v>9686.880000000001</v>
      </c>
      <c r="L48" s="83">
        <f t="shared" si="10"/>
        <v>59505.119999999995</v>
      </c>
    </row>
    <row r="49" spans="1:16" ht="15.6" x14ac:dyDescent="0.3">
      <c r="A49" s="81" t="s">
        <v>59</v>
      </c>
      <c r="B49" s="18">
        <v>12985</v>
      </c>
      <c r="C49" s="61">
        <v>85200</v>
      </c>
      <c r="D49" s="62">
        <f t="shared" si="11"/>
        <v>2556</v>
      </c>
      <c r="E49" s="63">
        <f t="shared" si="12"/>
        <v>11928</v>
      </c>
      <c r="F49" s="63">
        <f t="shared" si="13"/>
        <v>5964</v>
      </c>
      <c r="G49" s="61">
        <f t="shared" si="14"/>
        <v>105648</v>
      </c>
      <c r="H49" s="65">
        <f t="shared" si="8"/>
        <v>12677.76</v>
      </c>
      <c r="I49" s="66">
        <f t="shared" si="9"/>
        <v>2112.96</v>
      </c>
      <c r="J49" s="24" t="str">
        <f t="shared" si="15"/>
        <v>Asst Officer</v>
      </c>
      <c r="K49" s="64">
        <f t="shared" si="16"/>
        <v>14790.720000000001</v>
      </c>
      <c r="L49" s="83">
        <f t="shared" si="10"/>
        <v>90857.279999999999</v>
      </c>
    </row>
    <row r="50" spans="1:16" ht="15.6" x14ac:dyDescent="0.3">
      <c r="A50" s="81" t="s">
        <v>34</v>
      </c>
      <c r="B50" s="18">
        <v>12548</v>
      </c>
      <c r="C50" s="61">
        <v>95700</v>
      </c>
      <c r="D50" s="62">
        <f t="shared" si="11"/>
        <v>2871</v>
      </c>
      <c r="E50" s="63">
        <f t="shared" si="12"/>
        <v>13398</v>
      </c>
      <c r="F50" s="63">
        <f t="shared" si="13"/>
        <v>6699</v>
      </c>
      <c r="G50" s="61">
        <f t="shared" si="14"/>
        <v>118668</v>
      </c>
      <c r="H50" s="65">
        <f t="shared" si="8"/>
        <v>14240.16</v>
      </c>
      <c r="I50" s="66">
        <f t="shared" si="9"/>
        <v>2373.36</v>
      </c>
      <c r="J50" s="24" t="str">
        <f t="shared" si="15"/>
        <v>Officer</v>
      </c>
      <c r="K50" s="64">
        <f t="shared" si="16"/>
        <v>16613.52</v>
      </c>
      <c r="L50" s="83">
        <f t="shared" si="10"/>
        <v>102054.48</v>
      </c>
    </row>
    <row r="51" spans="1:16" ht="15.6" x14ac:dyDescent="0.3">
      <c r="A51" s="81" t="s">
        <v>35</v>
      </c>
      <c r="B51" s="18">
        <v>12596</v>
      </c>
      <c r="C51" s="61">
        <v>110500</v>
      </c>
      <c r="D51" s="62">
        <f t="shared" si="11"/>
        <v>3315</v>
      </c>
      <c r="E51" s="63">
        <f t="shared" si="12"/>
        <v>15470</v>
      </c>
      <c r="F51" s="63">
        <f t="shared" si="13"/>
        <v>7735</v>
      </c>
      <c r="G51" s="61">
        <f t="shared" si="14"/>
        <v>137020</v>
      </c>
      <c r="H51" s="65">
        <f t="shared" si="8"/>
        <v>16442.400000000001</v>
      </c>
      <c r="I51" s="66">
        <f t="shared" si="9"/>
        <v>2740.4</v>
      </c>
      <c r="J51" s="24" t="str">
        <f t="shared" si="15"/>
        <v>Officer</v>
      </c>
      <c r="K51" s="64">
        <f t="shared" si="16"/>
        <v>19182.800000000003</v>
      </c>
      <c r="L51" s="83">
        <f t="shared" si="10"/>
        <v>117837.2</v>
      </c>
    </row>
    <row r="52" spans="1:16" ht="15.6" x14ac:dyDescent="0.3">
      <c r="A52" s="87" t="s">
        <v>36</v>
      </c>
      <c r="B52" s="88">
        <v>12588</v>
      </c>
      <c r="C52" s="89">
        <v>62800</v>
      </c>
      <c r="D52" s="90">
        <f t="shared" si="11"/>
        <v>1884</v>
      </c>
      <c r="E52" s="91">
        <f t="shared" si="12"/>
        <v>8792</v>
      </c>
      <c r="F52" s="91">
        <f t="shared" si="13"/>
        <v>4396</v>
      </c>
      <c r="G52" s="89">
        <f t="shared" si="14"/>
        <v>77872</v>
      </c>
      <c r="H52" s="92">
        <f t="shared" si="8"/>
        <v>9344.64</v>
      </c>
      <c r="I52" s="93">
        <f t="shared" si="9"/>
        <v>1557.44</v>
      </c>
      <c r="J52" s="94" t="str">
        <f t="shared" si="15"/>
        <v>Office Superintendent</v>
      </c>
      <c r="K52" s="95">
        <f t="shared" si="16"/>
        <v>10902.08</v>
      </c>
      <c r="L52" s="96">
        <f t="shared" si="10"/>
        <v>66969.919999999998</v>
      </c>
    </row>
    <row r="54" spans="1:16" ht="15.6" x14ac:dyDescent="0.3">
      <c r="A54" s="118" t="s">
        <v>0</v>
      </c>
      <c r="B54" s="118" t="s">
        <v>14</v>
      </c>
      <c r="C54" s="119" t="s">
        <v>15</v>
      </c>
      <c r="D54" s="119"/>
      <c r="E54" s="119"/>
      <c r="F54" s="119"/>
      <c r="G54" s="119"/>
      <c r="H54" s="119"/>
      <c r="I54" s="103" t="s">
        <v>1</v>
      </c>
      <c r="J54" s="103" t="s">
        <v>89</v>
      </c>
      <c r="K54" s="103" t="s">
        <v>39</v>
      </c>
      <c r="L54" s="103" t="s">
        <v>40</v>
      </c>
      <c r="M54" s="103" t="s">
        <v>22</v>
      </c>
      <c r="N54" s="103" t="s">
        <v>19</v>
      </c>
      <c r="O54" s="103" t="s">
        <v>20</v>
      </c>
      <c r="P54" s="103" t="s">
        <v>21</v>
      </c>
    </row>
    <row r="55" spans="1:16" ht="15.6" hidden="1" x14ac:dyDescent="0.3">
      <c r="A55" s="118"/>
      <c r="B55" s="118"/>
      <c r="C55" s="27" t="s">
        <v>2</v>
      </c>
      <c r="D55" s="28" t="s">
        <v>3</v>
      </c>
      <c r="E55" s="27" t="s">
        <v>4</v>
      </c>
      <c r="F55" s="27" t="s">
        <v>5</v>
      </c>
      <c r="G55" s="27" t="s">
        <v>16</v>
      </c>
      <c r="H55" s="27" t="s">
        <v>3</v>
      </c>
      <c r="I55" s="104"/>
      <c r="J55" s="104"/>
      <c r="K55" s="104"/>
      <c r="L55" s="104"/>
      <c r="M55" s="104"/>
      <c r="N55" s="104"/>
      <c r="O55" s="104"/>
      <c r="P55" s="104"/>
    </row>
    <row r="56" spans="1:16" ht="15.6" x14ac:dyDescent="0.3">
      <c r="A56" s="29" t="s">
        <v>41</v>
      </c>
      <c r="B56" s="30">
        <v>10</v>
      </c>
      <c r="C56" s="57">
        <v>86</v>
      </c>
      <c r="D56" s="58">
        <v>88</v>
      </c>
      <c r="E56" s="57">
        <v>96</v>
      </c>
      <c r="F56" s="57">
        <v>78</v>
      </c>
      <c r="G56" s="57">
        <v>96</v>
      </c>
      <c r="H56" s="59">
        <v>83</v>
      </c>
      <c r="I56" s="60">
        <f t="shared" ref="I56:I70" si="17">SUM(C56:H56)</f>
        <v>527</v>
      </c>
      <c r="J56" s="55" t="str">
        <f>IF(I56&lt;200,"Faire",IF(I56&gt;=514,"Excellent","Good"))</f>
        <v>Excellent</v>
      </c>
      <c r="K56" s="72">
        <f>I56*100/600</f>
        <v>87.833333333333329</v>
      </c>
      <c r="L56" s="59">
        <f>I56/6</f>
        <v>87.833333333333329</v>
      </c>
      <c r="M56" s="54" t="str">
        <f>IF(K56&gt;=85,"Honours",IF(K56&gt;=75,"A",IF(K56&gt;=60,"First",IF(K56&gt;=45,"Second",IF(K56&gt;=33,"Third","Fail")))))</f>
        <v>Honours</v>
      </c>
      <c r="N56" s="55">
        <f t="shared" ref="N56:N70" si="18">COUNT(C56:H56)</f>
        <v>6</v>
      </c>
      <c r="O56" s="55">
        <f t="shared" ref="O56:O70" si="19">MAX(C56:H56)</f>
        <v>96</v>
      </c>
      <c r="P56" s="54">
        <f t="shared" ref="P56:P70" si="20">MIN(C56:H56)</f>
        <v>78</v>
      </c>
    </row>
    <row r="57" spans="1:16" ht="15.6" x14ac:dyDescent="0.3">
      <c r="A57" s="29" t="s">
        <v>42</v>
      </c>
      <c r="B57" s="30">
        <v>11</v>
      </c>
      <c r="C57" s="57">
        <v>85</v>
      </c>
      <c r="D57" s="58">
        <v>87</v>
      </c>
      <c r="E57" s="57">
        <v>95</v>
      </c>
      <c r="F57" s="57">
        <v>75</v>
      </c>
      <c r="G57" s="57">
        <v>95</v>
      </c>
      <c r="H57" s="59">
        <v>82</v>
      </c>
      <c r="I57" s="60">
        <f t="shared" si="17"/>
        <v>519</v>
      </c>
      <c r="J57" s="55" t="str">
        <f t="shared" ref="J57:J70" si="21">IF(I57&lt;200,"Faire",IF(I57&gt;=514,"Excellent","Good"))</f>
        <v>Excellent</v>
      </c>
      <c r="K57" s="72">
        <f t="shared" ref="K57:K70" si="22">I57*100/600</f>
        <v>86.5</v>
      </c>
      <c r="L57" s="59">
        <f t="shared" ref="L57:L70" si="23">I57/6</f>
        <v>86.5</v>
      </c>
      <c r="M57" s="54" t="str">
        <f t="shared" ref="M57:M70" si="24">IF(K57&gt;=85,"Honours",IF(K57&gt;=75,"A",IF(K57&gt;=60,"First",IF(K57&gt;=45,"Second",IF(K57&gt;=33,"Third","Fail")))))</f>
        <v>Honours</v>
      </c>
      <c r="N57" s="55">
        <f t="shared" si="18"/>
        <v>6</v>
      </c>
      <c r="O57" s="55">
        <f t="shared" si="19"/>
        <v>95</v>
      </c>
      <c r="P57" s="54">
        <f t="shared" si="20"/>
        <v>75</v>
      </c>
    </row>
    <row r="58" spans="1:16" ht="15.6" x14ac:dyDescent="0.3">
      <c r="A58" s="29" t="s">
        <v>43</v>
      </c>
      <c r="B58" s="30">
        <v>12</v>
      </c>
      <c r="C58" s="57">
        <v>84</v>
      </c>
      <c r="D58" s="58">
        <v>89</v>
      </c>
      <c r="E58" s="57">
        <v>94</v>
      </c>
      <c r="F58" s="57">
        <v>74</v>
      </c>
      <c r="G58" s="57">
        <v>94</v>
      </c>
      <c r="H58" s="59">
        <v>81</v>
      </c>
      <c r="I58" s="60">
        <f t="shared" si="17"/>
        <v>516</v>
      </c>
      <c r="J58" s="55" t="str">
        <f t="shared" si="21"/>
        <v>Excellent</v>
      </c>
      <c r="K58" s="72">
        <f t="shared" si="22"/>
        <v>86</v>
      </c>
      <c r="L58" s="59">
        <f t="shared" si="23"/>
        <v>86</v>
      </c>
      <c r="M58" s="54" t="str">
        <f t="shared" si="24"/>
        <v>Honours</v>
      </c>
      <c r="N58" s="55">
        <f t="shared" si="18"/>
        <v>6</v>
      </c>
      <c r="O58" s="55">
        <f t="shared" si="19"/>
        <v>94</v>
      </c>
      <c r="P58" s="54">
        <f t="shared" si="20"/>
        <v>74</v>
      </c>
    </row>
    <row r="59" spans="1:16" ht="15.6" x14ac:dyDescent="0.3">
      <c r="A59" s="29" t="s">
        <v>8</v>
      </c>
      <c r="B59" s="30">
        <v>13</v>
      </c>
      <c r="C59" s="57">
        <v>83</v>
      </c>
      <c r="D59" s="58">
        <v>84</v>
      </c>
      <c r="E59" s="57">
        <v>93</v>
      </c>
      <c r="F59" s="57">
        <v>79</v>
      </c>
      <c r="G59" s="57">
        <v>93</v>
      </c>
      <c r="H59" s="59">
        <v>86</v>
      </c>
      <c r="I59" s="60">
        <f t="shared" si="17"/>
        <v>518</v>
      </c>
      <c r="J59" s="55" t="str">
        <f t="shared" si="21"/>
        <v>Excellent</v>
      </c>
      <c r="K59" s="72">
        <f t="shared" si="22"/>
        <v>86.333333333333329</v>
      </c>
      <c r="L59" s="59">
        <f t="shared" si="23"/>
        <v>86.333333333333329</v>
      </c>
      <c r="M59" s="54" t="str">
        <f t="shared" si="24"/>
        <v>Honours</v>
      </c>
      <c r="N59" s="55">
        <f t="shared" si="18"/>
        <v>6</v>
      </c>
      <c r="O59" s="55">
        <f t="shared" si="19"/>
        <v>93</v>
      </c>
      <c r="P59" s="54">
        <f t="shared" si="20"/>
        <v>79</v>
      </c>
    </row>
    <row r="60" spans="1:16" ht="15.6" x14ac:dyDescent="0.3">
      <c r="A60" s="29" t="s">
        <v>44</v>
      </c>
      <c r="B60" s="30">
        <v>14</v>
      </c>
      <c r="C60" s="57">
        <v>82</v>
      </c>
      <c r="D60" s="58">
        <v>86</v>
      </c>
      <c r="E60" s="57">
        <v>92</v>
      </c>
      <c r="F60" s="57">
        <v>74</v>
      </c>
      <c r="G60" s="57">
        <v>92</v>
      </c>
      <c r="H60" s="59">
        <v>75</v>
      </c>
      <c r="I60" s="60">
        <f t="shared" si="17"/>
        <v>501</v>
      </c>
      <c r="J60" s="55" t="str">
        <f t="shared" si="21"/>
        <v>Good</v>
      </c>
      <c r="K60" s="72">
        <f t="shared" si="22"/>
        <v>83.5</v>
      </c>
      <c r="L60" s="59">
        <f t="shared" si="23"/>
        <v>83.5</v>
      </c>
      <c r="M60" s="54" t="str">
        <f t="shared" si="24"/>
        <v>A</v>
      </c>
      <c r="N60" s="55">
        <f t="shared" si="18"/>
        <v>6</v>
      </c>
      <c r="O60" s="55">
        <f t="shared" si="19"/>
        <v>92</v>
      </c>
      <c r="P60" s="54">
        <f t="shared" si="20"/>
        <v>74</v>
      </c>
    </row>
    <row r="61" spans="1:16" ht="15.6" x14ac:dyDescent="0.3">
      <c r="A61" s="29" t="s">
        <v>9</v>
      </c>
      <c r="B61" s="30">
        <v>15</v>
      </c>
      <c r="C61" s="57">
        <v>95</v>
      </c>
      <c r="D61" s="58">
        <v>83</v>
      </c>
      <c r="E61" s="57">
        <v>91</v>
      </c>
      <c r="F61" s="57">
        <v>75</v>
      </c>
      <c r="G61" s="57">
        <v>91</v>
      </c>
      <c r="H61" s="59">
        <v>79</v>
      </c>
      <c r="I61" s="60">
        <f t="shared" si="17"/>
        <v>514</v>
      </c>
      <c r="J61" s="55" t="str">
        <f t="shared" si="21"/>
        <v>Excellent</v>
      </c>
      <c r="K61" s="72">
        <f t="shared" si="22"/>
        <v>85.666666666666671</v>
      </c>
      <c r="L61" s="59">
        <f t="shared" si="23"/>
        <v>85.666666666666671</v>
      </c>
      <c r="M61" s="54" t="str">
        <f t="shared" si="24"/>
        <v>Honours</v>
      </c>
      <c r="N61" s="55">
        <f t="shared" si="18"/>
        <v>6</v>
      </c>
      <c r="O61" s="55">
        <f t="shared" si="19"/>
        <v>95</v>
      </c>
      <c r="P61" s="54">
        <f t="shared" si="20"/>
        <v>75</v>
      </c>
    </row>
    <row r="62" spans="1:16" ht="15.6" x14ac:dyDescent="0.3">
      <c r="A62" s="29" t="s">
        <v>58</v>
      </c>
      <c r="B62" s="30">
        <v>16</v>
      </c>
      <c r="C62" s="57">
        <v>96</v>
      </c>
      <c r="D62" s="58">
        <v>84</v>
      </c>
      <c r="E62" s="57">
        <v>94</v>
      </c>
      <c r="F62" s="57">
        <v>76</v>
      </c>
      <c r="G62" s="57">
        <v>89</v>
      </c>
      <c r="H62" s="59">
        <v>78</v>
      </c>
      <c r="I62" s="60">
        <f t="shared" si="17"/>
        <v>517</v>
      </c>
      <c r="J62" s="55" t="str">
        <f t="shared" si="21"/>
        <v>Excellent</v>
      </c>
      <c r="K62" s="72">
        <f t="shared" si="22"/>
        <v>86.166666666666671</v>
      </c>
      <c r="L62" s="59">
        <f t="shared" si="23"/>
        <v>86.166666666666671</v>
      </c>
      <c r="M62" s="54" t="str">
        <f t="shared" si="24"/>
        <v>Honours</v>
      </c>
      <c r="N62" s="55">
        <f t="shared" si="18"/>
        <v>6</v>
      </c>
      <c r="O62" s="55">
        <f t="shared" si="19"/>
        <v>96</v>
      </c>
      <c r="P62" s="54">
        <f t="shared" si="20"/>
        <v>76</v>
      </c>
    </row>
    <row r="63" spans="1:16" ht="15.6" x14ac:dyDescent="0.3">
      <c r="A63" s="29" t="s">
        <v>45</v>
      </c>
      <c r="B63" s="30">
        <v>17</v>
      </c>
      <c r="C63" s="57">
        <v>97</v>
      </c>
      <c r="D63" s="58">
        <v>85</v>
      </c>
      <c r="E63" s="57">
        <v>97</v>
      </c>
      <c r="F63" s="57">
        <v>74</v>
      </c>
      <c r="G63" s="57">
        <v>88</v>
      </c>
      <c r="H63" s="59">
        <v>87</v>
      </c>
      <c r="I63" s="60">
        <f t="shared" si="17"/>
        <v>528</v>
      </c>
      <c r="J63" s="55" t="str">
        <f t="shared" si="21"/>
        <v>Excellent</v>
      </c>
      <c r="K63" s="72">
        <f t="shared" si="22"/>
        <v>88</v>
      </c>
      <c r="L63" s="59">
        <f t="shared" si="23"/>
        <v>88</v>
      </c>
      <c r="M63" s="54" t="str">
        <f t="shared" si="24"/>
        <v>Honours</v>
      </c>
      <c r="N63" s="55">
        <f t="shared" si="18"/>
        <v>6</v>
      </c>
      <c r="O63" s="55">
        <f t="shared" si="19"/>
        <v>97</v>
      </c>
      <c r="P63" s="54">
        <f t="shared" si="20"/>
        <v>74</v>
      </c>
    </row>
    <row r="64" spans="1:16" ht="15.6" x14ac:dyDescent="0.3">
      <c r="A64" s="29" t="s">
        <v>6</v>
      </c>
      <c r="B64" s="30">
        <v>18</v>
      </c>
      <c r="C64" s="57">
        <v>18</v>
      </c>
      <c r="D64" s="58">
        <v>30</v>
      </c>
      <c r="E64" s="57">
        <v>35</v>
      </c>
      <c r="F64" s="57">
        <v>36</v>
      </c>
      <c r="G64" s="57">
        <v>29</v>
      </c>
      <c r="H64" s="59">
        <v>25</v>
      </c>
      <c r="I64" s="60">
        <f t="shared" si="17"/>
        <v>173</v>
      </c>
      <c r="J64" s="55" t="str">
        <f t="shared" si="21"/>
        <v>Faire</v>
      </c>
      <c r="K64" s="72">
        <f t="shared" si="22"/>
        <v>28.833333333333332</v>
      </c>
      <c r="L64" s="59">
        <f t="shared" si="23"/>
        <v>28.833333333333332</v>
      </c>
      <c r="M64" s="54" t="str">
        <f t="shared" si="24"/>
        <v>Fail</v>
      </c>
      <c r="N64" s="55">
        <f t="shared" si="18"/>
        <v>6</v>
      </c>
      <c r="O64" s="55">
        <f t="shared" si="19"/>
        <v>36</v>
      </c>
      <c r="P64" s="54">
        <f t="shared" si="20"/>
        <v>18</v>
      </c>
    </row>
    <row r="65" spans="1:16" ht="15.6" x14ac:dyDescent="0.3">
      <c r="A65" s="29" t="s">
        <v>7</v>
      </c>
      <c r="B65" s="30">
        <v>19</v>
      </c>
      <c r="C65" s="57">
        <v>93</v>
      </c>
      <c r="D65" s="58">
        <v>87</v>
      </c>
      <c r="E65" s="57">
        <v>96</v>
      </c>
      <c r="F65" s="57">
        <v>87</v>
      </c>
      <c r="G65" s="57">
        <v>86</v>
      </c>
      <c r="H65" s="59">
        <v>89</v>
      </c>
      <c r="I65" s="60">
        <f t="shared" si="17"/>
        <v>538</v>
      </c>
      <c r="J65" s="55" t="str">
        <f t="shared" si="21"/>
        <v>Excellent</v>
      </c>
      <c r="K65" s="72">
        <f t="shared" si="22"/>
        <v>89.666666666666671</v>
      </c>
      <c r="L65" s="59">
        <f t="shared" si="23"/>
        <v>89.666666666666671</v>
      </c>
      <c r="M65" s="54" t="str">
        <f t="shared" si="24"/>
        <v>Honours</v>
      </c>
      <c r="N65" s="55">
        <f t="shared" si="18"/>
        <v>6</v>
      </c>
      <c r="O65" s="55">
        <f t="shared" si="19"/>
        <v>96</v>
      </c>
      <c r="P65" s="54">
        <f t="shared" si="20"/>
        <v>86</v>
      </c>
    </row>
    <row r="66" spans="1:16" ht="15.6" x14ac:dyDescent="0.3">
      <c r="A66" s="29" t="s">
        <v>46</v>
      </c>
      <c r="B66" s="30">
        <v>20</v>
      </c>
      <c r="C66" s="57">
        <v>92</v>
      </c>
      <c r="D66" s="58">
        <v>85</v>
      </c>
      <c r="E66" s="57">
        <v>93</v>
      </c>
      <c r="F66" s="57">
        <v>85</v>
      </c>
      <c r="G66" s="57">
        <v>85</v>
      </c>
      <c r="H66" s="59">
        <v>96</v>
      </c>
      <c r="I66" s="60">
        <f t="shared" si="17"/>
        <v>536</v>
      </c>
      <c r="J66" s="55" t="str">
        <f t="shared" si="21"/>
        <v>Excellent</v>
      </c>
      <c r="K66" s="72">
        <f t="shared" si="22"/>
        <v>89.333333333333329</v>
      </c>
      <c r="L66" s="59">
        <f t="shared" si="23"/>
        <v>89.333333333333329</v>
      </c>
      <c r="M66" s="54" t="str">
        <f t="shared" si="24"/>
        <v>Honours</v>
      </c>
      <c r="N66" s="55">
        <f t="shared" si="18"/>
        <v>6</v>
      </c>
      <c r="O66" s="55">
        <f t="shared" si="19"/>
        <v>96</v>
      </c>
      <c r="P66" s="54">
        <f t="shared" si="20"/>
        <v>85</v>
      </c>
    </row>
    <row r="67" spans="1:16" ht="15.6" x14ac:dyDescent="0.3">
      <c r="A67" s="29" t="s">
        <v>47</v>
      </c>
      <c r="B67" s="30">
        <v>21</v>
      </c>
      <c r="C67" s="57">
        <v>91</v>
      </c>
      <c r="D67" s="58">
        <v>84</v>
      </c>
      <c r="E67" s="57">
        <v>95</v>
      </c>
      <c r="F67" s="57">
        <v>82</v>
      </c>
      <c r="G67" s="57">
        <v>84</v>
      </c>
      <c r="H67" s="59">
        <v>99</v>
      </c>
      <c r="I67" s="60">
        <f t="shared" si="17"/>
        <v>535</v>
      </c>
      <c r="J67" s="55" t="str">
        <f t="shared" si="21"/>
        <v>Excellent</v>
      </c>
      <c r="K67" s="72">
        <f t="shared" si="22"/>
        <v>89.166666666666671</v>
      </c>
      <c r="L67" s="59">
        <f t="shared" si="23"/>
        <v>89.166666666666671</v>
      </c>
      <c r="M67" s="54" t="str">
        <f t="shared" si="24"/>
        <v>Honours</v>
      </c>
      <c r="N67" s="55">
        <f t="shared" si="18"/>
        <v>6</v>
      </c>
      <c r="O67" s="55">
        <f t="shared" si="19"/>
        <v>99</v>
      </c>
      <c r="P67" s="54">
        <f t="shared" si="20"/>
        <v>82</v>
      </c>
    </row>
    <row r="68" spans="1:16" ht="15.6" x14ac:dyDescent="0.3">
      <c r="A68" s="29" t="s">
        <v>48</v>
      </c>
      <c r="B68" s="30">
        <v>22</v>
      </c>
      <c r="C68" s="57">
        <v>90</v>
      </c>
      <c r="D68" s="58">
        <v>85</v>
      </c>
      <c r="E68" s="57">
        <v>94</v>
      </c>
      <c r="F68" s="57">
        <v>86</v>
      </c>
      <c r="G68" s="57">
        <v>83</v>
      </c>
      <c r="H68" s="59">
        <v>98</v>
      </c>
      <c r="I68" s="60">
        <f t="shared" si="17"/>
        <v>536</v>
      </c>
      <c r="J68" s="55" t="str">
        <f t="shared" si="21"/>
        <v>Excellent</v>
      </c>
      <c r="K68" s="72">
        <f t="shared" si="22"/>
        <v>89.333333333333329</v>
      </c>
      <c r="L68" s="59">
        <f t="shared" si="23"/>
        <v>89.333333333333329</v>
      </c>
      <c r="M68" s="54" t="str">
        <f t="shared" si="24"/>
        <v>Honours</v>
      </c>
      <c r="N68" s="55">
        <f t="shared" si="18"/>
        <v>6</v>
      </c>
      <c r="O68" s="55">
        <f t="shared" si="19"/>
        <v>98</v>
      </c>
      <c r="P68" s="54">
        <f t="shared" si="20"/>
        <v>83</v>
      </c>
    </row>
    <row r="69" spans="1:16" ht="15.6" x14ac:dyDescent="0.3">
      <c r="A69" s="29" t="s">
        <v>49</v>
      </c>
      <c r="B69" s="30">
        <v>23</v>
      </c>
      <c r="C69" s="57">
        <v>89</v>
      </c>
      <c r="D69" s="58">
        <v>87</v>
      </c>
      <c r="E69" s="57">
        <v>97</v>
      </c>
      <c r="F69" s="57">
        <v>88</v>
      </c>
      <c r="G69" s="57">
        <v>82</v>
      </c>
      <c r="H69" s="59">
        <v>87</v>
      </c>
      <c r="I69" s="60">
        <f t="shared" si="17"/>
        <v>530</v>
      </c>
      <c r="J69" s="55" t="str">
        <f t="shared" si="21"/>
        <v>Excellent</v>
      </c>
      <c r="K69" s="72">
        <f t="shared" si="22"/>
        <v>88.333333333333329</v>
      </c>
      <c r="L69" s="59">
        <f t="shared" si="23"/>
        <v>88.333333333333329</v>
      </c>
      <c r="M69" s="54" t="str">
        <f t="shared" si="24"/>
        <v>Honours</v>
      </c>
      <c r="N69" s="55">
        <f t="shared" si="18"/>
        <v>6</v>
      </c>
      <c r="O69" s="55">
        <f t="shared" si="19"/>
        <v>97</v>
      </c>
      <c r="P69" s="54">
        <f t="shared" si="20"/>
        <v>82</v>
      </c>
    </row>
    <row r="70" spans="1:16" ht="15.6" x14ac:dyDescent="0.3">
      <c r="A70" s="29" t="s">
        <v>50</v>
      </c>
      <c r="B70" s="30">
        <v>24</v>
      </c>
      <c r="C70" s="57">
        <v>88</v>
      </c>
      <c r="D70" s="58">
        <v>78</v>
      </c>
      <c r="E70" s="57">
        <v>98</v>
      </c>
      <c r="F70" s="57">
        <v>89</v>
      </c>
      <c r="G70" s="57">
        <v>81</v>
      </c>
      <c r="H70" s="59">
        <v>88</v>
      </c>
      <c r="I70" s="60">
        <f t="shared" si="17"/>
        <v>522</v>
      </c>
      <c r="J70" s="55" t="str">
        <f t="shared" si="21"/>
        <v>Excellent</v>
      </c>
      <c r="K70" s="72">
        <f t="shared" si="22"/>
        <v>87</v>
      </c>
      <c r="L70" s="59">
        <f t="shared" si="23"/>
        <v>87</v>
      </c>
      <c r="M70" s="54" t="str">
        <f t="shared" si="24"/>
        <v>Honours</v>
      </c>
      <c r="N70" s="55">
        <f t="shared" si="18"/>
        <v>6</v>
      </c>
      <c r="O70" s="55">
        <f t="shared" si="19"/>
        <v>98</v>
      </c>
      <c r="P70" s="54">
        <f t="shared" si="20"/>
        <v>78</v>
      </c>
    </row>
    <row r="73" spans="1:16" ht="14.4" customHeight="1" x14ac:dyDescent="0.3">
      <c r="A73" s="120" t="s">
        <v>51</v>
      </c>
      <c r="B73" s="120" t="s">
        <v>38</v>
      </c>
      <c r="C73" s="120" t="s">
        <v>29</v>
      </c>
      <c r="D73" s="120" t="s">
        <v>52</v>
      </c>
      <c r="E73" s="120" t="s">
        <v>24</v>
      </c>
      <c r="F73" s="120" t="s">
        <v>25</v>
      </c>
      <c r="G73" s="120" t="s">
        <v>26</v>
      </c>
      <c r="H73" s="120" t="s">
        <v>53</v>
      </c>
      <c r="I73" s="120" t="s">
        <v>28</v>
      </c>
      <c r="J73" s="120" t="s">
        <v>54</v>
      </c>
      <c r="K73" s="115" t="s">
        <v>33</v>
      </c>
      <c r="L73" s="115" t="s">
        <v>89</v>
      </c>
    </row>
    <row r="74" spans="1:16" ht="14.4" customHeight="1" x14ac:dyDescent="0.3">
      <c r="A74" s="120"/>
      <c r="B74" s="120"/>
      <c r="C74" s="120"/>
      <c r="D74" s="120"/>
      <c r="E74" s="120"/>
      <c r="F74" s="120"/>
      <c r="G74" s="120"/>
      <c r="H74" s="120"/>
      <c r="I74" s="120"/>
      <c r="J74" s="120"/>
      <c r="K74" s="116"/>
      <c r="L74" s="116"/>
    </row>
    <row r="75" spans="1:16" ht="14.4" customHeight="1" x14ac:dyDescent="0.3">
      <c r="A75" s="120"/>
      <c r="B75" s="120"/>
      <c r="C75" s="120"/>
      <c r="D75" s="120"/>
      <c r="E75" s="120"/>
      <c r="F75" s="120"/>
      <c r="G75" s="120"/>
      <c r="H75" s="120"/>
      <c r="I75" s="120"/>
      <c r="J75" s="120"/>
      <c r="K75" s="117"/>
      <c r="L75" s="117"/>
    </row>
    <row r="76" spans="1:16" ht="14.4" customHeight="1" x14ac:dyDescent="0.3">
      <c r="A76" s="14" t="s">
        <v>6</v>
      </c>
      <c r="B76" s="56">
        <v>125688</v>
      </c>
      <c r="C76" s="67">
        <v>95800</v>
      </c>
      <c r="D76" s="68">
        <f t="shared" ref="D76:D93" si="25">C76*3/100</f>
        <v>2874</v>
      </c>
      <c r="E76" s="67">
        <f t="shared" ref="E76:E93" si="26">C76*14/100</f>
        <v>13412</v>
      </c>
      <c r="F76" s="67">
        <f t="shared" ref="F76:F93" si="27">C76*7/100</f>
        <v>6706</v>
      </c>
      <c r="G76" s="67">
        <f t="shared" ref="G76:G93" si="28">SUM(C76:F76)</f>
        <v>118792</v>
      </c>
      <c r="H76" s="70">
        <f t="shared" ref="H76:H93" si="29">G76*12/100</f>
        <v>14255.04</v>
      </c>
      <c r="I76" s="71">
        <f t="shared" ref="I76:I93" si="30">G76*2/100</f>
        <v>2375.84</v>
      </c>
      <c r="J76" s="70">
        <f t="shared" ref="J76:J93" si="31">H76+I76</f>
        <v>16630.88</v>
      </c>
      <c r="K76" s="69">
        <f t="shared" ref="K76:K93" si="32">G76-J76</f>
        <v>102161.12</v>
      </c>
      <c r="L76" s="15" t="str">
        <f t="shared" ref="L76:L93" si="33">IF(K76&lt;=50000,"Low Income","High Income")</f>
        <v>High Income</v>
      </c>
    </row>
    <row r="77" spans="1:16" x14ac:dyDescent="0.3">
      <c r="A77" s="14" t="s">
        <v>7</v>
      </c>
      <c r="B77" s="56">
        <v>125689</v>
      </c>
      <c r="C77" s="67">
        <v>48500</v>
      </c>
      <c r="D77" s="68">
        <f t="shared" si="25"/>
        <v>1455</v>
      </c>
      <c r="E77" s="67">
        <f t="shared" si="26"/>
        <v>6790</v>
      </c>
      <c r="F77" s="67">
        <f t="shared" si="27"/>
        <v>3395</v>
      </c>
      <c r="G77" s="67">
        <f t="shared" si="28"/>
        <v>60140</v>
      </c>
      <c r="H77" s="70">
        <f t="shared" si="29"/>
        <v>7216.8</v>
      </c>
      <c r="I77" s="71">
        <f t="shared" si="30"/>
        <v>1202.8</v>
      </c>
      <c r="J77" s="70">
        <f t="shared" si="31"/>
        <v>8419.6</v>
      </c>
      <c r="K77" s="69">
        <f t="shared" si="32"/>
        <v>51720.4</v>
      </c>
      <c r="L77" s="15" t="str">
        <f t="shared" si="33"/>
        <v>High Income</v>
      </c>
    </row>
    <row r="78" spans="1:16" x14ac:dyDescent="0.3">
      <c r="A78" s="14" t="s">
        <v>57</v>
      </c>
      <c r="B78" s="56">
        <v>125690</v>
      </c>
      <c r="C78" s="67">
        <v>45300</v>
      </c>
      <c r="D78" s="68">
        <f t="shared" si="25"/>
        <v>1359</v>
      </c>
      <c r="E78" s="67">
        <f t="shared" si="26"/>
        <v>6342</v>
      </c>
      <c r="F78" s="67">
        <f t="shared" si="27"/>
        <v>3171</v>
      </c>
      <c r="G78" s="67">
        <f t="shared" si="28"/>
        <v>56172</v>
      </c>
      <c r="H78" s="70">
        <f t="shared" si="29"/>
        <v>6740.64</v>
      </c>
      <c r="I78" s="71">
        <f t="shared" si="30"/>
        <v>1123.44</v>
      </c>
      <c r="J78" s="70">
        <f t="shared" si="31"/>
        <v>7864.08</v>
      </c>
      <c r="K78" s="69">
        <f t="shared" si="32"/>
        <v>48307.92</v>
      </c>
      <c r="L78" s="15" t="str">
        <f t="shared" si="33"/>
        <v>Low Income</v>
      </c>
    </row>
    <row r="79" spans="1:16" x14ac:dyDescent="0.3">
      <c r="A79" s="14" t="s">
        <v>8</v>
      </c>
      <c r="B79" s="56">
        <v>125691</v>
      </c>
      <c r="C79" s="67">
        <v>3500</v>
      </c>
      <c r="D79" s="68">
        <f t="shared" si="25"/>
        <v>105</v>
      </c>
      <c r="E79" s="67">
        <f t="shared" si="26"/>
        <v>490</v>
      </c>
      <c r="F79" s="67">
        <f t="shared" si="27"/>
        <v>245</v>
      </c>
      <c r="G79" s="67">
        <f t="shared" si="28"/>
        <v>4340</v>
      </c>
      <c r="H79" s="70">
        <f t="shared" si="29"/>
        <v>520.79999999999995</v>
      </c>
      <c r="I79" s="71">
        <f t="shared" si="30"/>
        <v>86.8</v>
      </c>
      <c r="J79" s="70">
        <f t="shared" si="31"/>
        <v>607.59999999999991</v>
      </c>
      <c r="K79" s="69">
        <f t="shared" si="32"/>
        <v>3732.4</v>
      </c>
      <c r="L79" s="15" t="str">
        <f t="shared" si="33"/>
        <v>Low Income</v>
      </c>
    </row>
    <row r="80" spans="1:16" x14ac:dyDescent="0.3">
      <c r="A80" s="14" t="s">
        <v>9</v>
      </c>
      <c r="B80" s="56">
        <v>125692</v>
      </c>
      <c r="C80" s="67">
        <v>42500</v>
      </c>
      <c r="D80" s="68">
        <f t="shared" si="25"/>
        <v>1275</v>
      </c>
      <c r="E80" s="67">
        <f t="shared" si="26"/>
        <v>5950</v>
      </c>
      <c r="F80" s="67">
        <f t="shared" si="27"/>
        <v>2975</v>
      </c>
      <c r="G80" s="67">
        <f t="shared" si="28"/>
        <v>52700</v>
      </c>
      <c r="H80" s="70">
        <f t="shared" si="29"/>
        <v>6324</v>
      </c>
      <c r="I80" s="71">
        <f t="shared" si="30"/>
        <v>1054</v>
      </c>
      <c r="J80" s="70">
        <f t="shared" si="31"/>
        <v>7378</v>
      </c>
      <c r="K80" s="69">
        <f t="shared" si="32"/>
        <v>45322</v>
      </c>
      <c r="L80" s="15" t="str">
        <f t="shared" si="33"/>
        <v>Low Income</v>
      </c>
    </row>
    <row r="81" spans="1:12" x14ac:dyDescent="0.3">
      <c r="A81" s="14" t="s">
        <v>58</v>
      </c>
      <c r="B81" s="56">
        <v>125693</v>
      </c>
      <c r="C81" s="67">
        <v>82900</v>
      </c>
      <c r="D81" s="68">
        <f t="shared" si="25"/>
        <v>2487</v>
      </c>
      <c r="E81" s="67">
        <f t="shared" si="26"/>
        <v>11606</v>
      </c>
      <c r="F81" s="67">
        <f t="shared" si="27"/>
        <v>5803</v>
      </c>
      <c r="G81" s="67">
        <f t="shared" si="28"/>
        <v>102796</v>
      </c>
      <c r="H81" s="70">
        <f t="shared" si="29"/>
        <v>12335.52</v>
      </c>
      <c r="I81" s="71">
        <f t="shared" si="30"/>
        <v>2055.92</v>
      </c>
      <c r="J81" s="70">
        <f t="shared" si="31"/>
        <v>14391.44</v>
      </c>
      <c r="K81" s="69">
        <f t="shared" si="32"/>
        <v>88404.56</v>
      </c>
      <c r="L81" s="15" t="str">
        <f t="shared" si="33"/>
        <v>High Income</v>
      </c>
    </row>
    <row r="82" spans="1:12" x14ac:dyDescent="0.3">
      <c r="A82" s="14" t="s">
        <v>55</v>
      </c>
      <c r="B82" s="56">
        <v>125694</v>
      </c>
      <c r="C82" s="67">
        <v>75500</v>
      </c>
      <c r="D82" s="68">
        <f t="shared" si="25"/>
        <v>2265</v>
      </c>
      <c r="E82" s="67">
        <f t="shared" si="26"/>
        <v>10570</v>
      </c>
      <c r="F82" s="67">
        <f t="shared" si="27"/>
        <v>5285</v>
      </c>
      <c r="G82" s="67">
        <f t="shared" si="28"/>
        <v>93620</v>
      </c>
      <c r="H82" s="70">
        <f t="shared" si="29"/>
        <v>11234.4</v>
      </c>
      <c r="I82" s="71">
        <f t="shared" si="30"/>
        <v>1872.4</v>
      </c>
      <c r="J82" s="70">
        <f t="shared" si="31"/>
        <v>13106.8</v>
      </c>
      <c r="K82" s="69">
        <f t="shared" si="32"/>
        <v>80513.2</v>
      </c>
      <c r="L82" s="15" t="str">
        <f t="shared" si="33"/>
        <v>High Income</v>
      </c>
    </row>
    <row r="83" spans="1:12" x14ac:dyDescent="0.3">
      <c r="A83" s="14" t="s">
        <v>10</v>
      </c>
      <c r="B83" s="56">
        <v>125695</v>
      </c>
      <c r="C83" s="67">
        <v>32500</v>
      </c>
      <c r="D83" s="68">
        <f t="shared" si="25"/>
        <v>975</v>
      </c>
      <c r="E83" s="67">
        <f t="shared" si="26"/>
        <v>4550</v>
      </c>
      <c r="F83" s="67">
        <f t="shared" si="27"/>
        <v>2275</v>
      </c>
      <c r="G83" s="67">
        <f t="shared" si="28"/>
        <v>40300</v>
      </c>
      <c r="H83" s="70">
        <f t="shared" si="29"/>
        <v>4836</v>
      </c>
      <c r="I83" s="71">
        <f t="shared" si="30"/>
        <v>806</v>
      </c>
      <c r="J83" s="70">
        <f t="shared" si="31"/>
        <v>5642</v>
      </c>
      <c r="K83" s="69">
        <f t="shared" si="32"/>
        <v>34658</v>
      </c>
      <c r="L83" s="15" t="str">
        <f t="shared" si="33"/>
        <v>Low Income</v>
      </c>
    </row>
    <row r="84" spans="1:12" x14ac:dyDescent="0.3">
      <c r="A84" s="14" t="s">
        <v>11</v>
      </c>
      <c r="B84" s="56">
        <v>125696</v>
      </c>
      <c r="C84" s="67">
        <v>22800</v>
      </c>
      <c r="D84" s="68">
        <f t="shared" si="25"/>
        <v>684</v>
      </c>
      <c r="E84" s="67">
        <f t="shared" si="26"/>
        <v>3192</v>
      </c>
      <c r="F84" s="67">
        <f t="shared" si="27"/>
        <v>1596</v>
      </c>
      <c r="G84" s="67">
        <f t="shared" si="28"/>
        <v>28272</v>
      </c>
      <c r="H84" s="70">
        <f t="shared" si="29"/>
        <v>3392.64</v>
      </c>
      <c r="I84" s="71">
        <f t="shared" si="30"/>
        <v>565.44000000000005</v>
      </c>
      <c r="J84" s="70">
        <f t="shared" si="31"/>
        <v>3958.08</v>
      </c>
      <c r="K84" s="69">
        <f t="shared" si="32"/>
        <v>24313.919999999998</v>
      </c>
      <c r="L84" s="15" t="str">
        <f t="shared" si="33"/>
        <v>Low Income</v>
      </c>
    </row>
    <row r="85" spans="1:12" x14ac:dyDescent="0.3">
      <c r="A85" s="14" t="s">
        <v>56</v>
      </c>
      <c r="B85" s="56">
        <v>125697</v>
      </c>
      <c r="C85" s="67">
        <v>24500</v>
      </c>
      <c r="D85" s="68">
        <f t="shared" si="25"/>
        <v>735</v>
      </c>
      <c r="E85" s="67">
        <f t="shared" si="26"/>
        <v>3430</v>
      </c>
      <c r="F85" s="67">
        <f t="shared" si="27"/>
        <v>1715</v>
      </c>
      <c r="G85" s="67">
        <f t="shared" si="28"/>
        <v>30380</v>
      </c>
      <c r="H85" s="70">
        <f t="shared" si="29"/>
        <v>3645.6</v>
      </c>
      <c r="I85" s="71">
        <f t="shared" si="30"/>
        <v>607.6</v>
      </c>
      <c r="J85" s="70">
        <f t="shared" si="31"/>
        <v>4253.2</v>
      </c>
      <c r="K85" s="69">
        <f t="shared" si="32"/>
        <v>26126.799999999999</v>
      </c>
      <c r="L85" s="15" t="str">
        <f t="shared" si="33"/>
        <v>Low Income</v>
      </c>
    </row>
    <row r="86" spans="1:12" x14ac:dyDescent="0.3">
      <c r="A86" s="14" t="s">
        <v>12</v>
      </c>
      <c r="B86" s="56">
        <v>125698</v>
      </c>
      <c r="C86" s="67">
        <v>62800</v>
      </c>
      <c r="D86" s="68">
        <f t="shared" si="25"/>
        <v>1884</v>
      </c>
      <c r="E86" s="67">
        <f t="shared" si="26"/>
        <v>8792</v>
      </c>
      <c r="F86" s="67">
        <f t="shared" si="27"/>
        <v>4396</v>
      </c>
      <c r="G86" s="67">
        <f t="shared" si="28"/>
        <v>77872</v>
      </c>
      <c r="H86" s="70">
        <f t="shared" si="29"/>
        <v>9344.64</v>
      </c>
      <c r="I86" s="71">
        <f t="shared" si="30"/>
        <v>1557.44</v>
      </c>
      <c r="J86" s="70">
        <f t="shared" si="31"/>
        <v>10902.08</v>
      </c>
      <c r="K86" s="69">
        <f t="shared" si="32"/>
        <v>66969.919999999998</v>
      </c>
      <c r="L86" s="15" t="str">
        <f t="shared" si="33"/>
        <v>High Income</v>
      </c>
    </row>
    <row r="87" spans="1:12" x14ac:dyDescent="0.3">
      <c r="A87" s="14" t="s">
        <v>58</v>
      </c>
      <c r="B87" s="56">
        <v>125699</v>
      </c>
      <c r="C87" s="67">
        <v>42800</v>
      </c>
      <c r="D87" s="68">
        <f t="shared" si="25"/>
        <v>1284</v>
      </c>
      <c r="E87" s="67">
        <f t="shared" si="26"/>
        <v>5992</v>
      </c>
      <c r="F87" s="67">
        <f t="shared" si="27"/>
        <v>2996</v>
      </c>
      <c r="G87" s="67">
        <f t="shared" si="28"/>
        <v>53072</v>
      </c>
      <c r="H87" s="70">
        <f t="shared" si="29"/>
        <v>6368.64</v>
      </c>
      <c r="I87" s="71">
        <f t="shared" si="30"/>
        <v>1061.44</v>
      </c>
      <c r="J87" s="70">
        <f t="shared" si="31"/>
        <v>7430.08</v>
      </c>
      <c r="K87" s="69">
        <f t="shared" si="32"/>
        <v>45641.919999999998</v>
      </c>
      <c r="L87" s="15" t="str">
        <f t="shared" si="33"/>
        <v>Low Income</v>
      </c>
    </row>
    <row r="88" spans="1:12" x14ac:dyDescent="0.3">
      <c r="A88" s="14" t="s">
        <v>30</v>
      </c>
      <c r="B88" s="56">
        <v>125670</v>
      </c>
      <c r="C88" s="67">
        <v>52700</v>
      </c>
      <c r="D88" s="68">
        <f t="shared" si="25"/>
        <v>1581</v>
      </c>
      <c r="E88" s="67">
        <f t="shared" si="26"/>
        <v>7378</v>
      </c>
      <c r="F88" s="67">
        <f t="shared" si="27"/>
        <v>3689</v>
      </c>
      <c r="G88" s="67">
        <f t="shared" si="28"/>
        <v>65348</v>
      </c>
      <c r="H88" s="70">
        <f t="shared" si="29"/>
        <v>7841.76</v>
      </c>
      <c r="I88" s="71">
        <f t="shared" si="30"/>
        <v>1306.96</v>
      </c>
      <c r="J88" s="70">
        <f t="shared" si="31"/>
        <v>9148.7200000000012</v>
      </c>
      <c r="K88" s="69">
        <f t="shared" si="32"/>
        <v>56199.28</v>
      </c>
      <c r="L88" s="15" t="str">
        <f t="shared" si="33"/>
        <v>High Income</v>
      </c>
    </row>
    <row r="89" spans="1:12" x14ac:dyDescent="0.3">
      <c r="A89" s="14" t="s">
        <v>31</v>
      </c>
      <c r="B89" s="56">
        <v>125671</v>
      </c>
      <c r="C89" s="67">
        <v>55800</v>
      </c>
      <c r="D89" s="68">
        <f t="shared" si="25"/>
        <v>1674</v>
      </c>
      <c r="E89" s="67">
        <f t="shared" si="26"/>
        <v>7812</v>
      </c>
      <c r="F89" s="67">
        <f t="shared" si="27"/>
        <v>3906</v>
      </c>
      <c r="G89" s="67">
        <f t="shared" si="28"/>
        <v>69192</v>
      </c>
      <c r="H89" s="70">
        <f t="shared" si="29"/>
        <v>8303.0400000000009</v>
      </c>
      <c r="I89" s="71">
        <f t="shared" si="30"/>
        <v>1383.84</v>
      </c>
      <c r="J89" s="70">
        <f t="shared" si="31"/>
        <v>9686.880000000001</v>
      </c>
      <c r="K89" s="69">
        <f t="shared" si="32"/>
        <v>59505.119999999995</v>
      </c>
      <c r="L89" s="15" t="str">
        <f t="shared" si="33"/>
        <v>High Income</v>
      </c>
    </row>
    <row r="90" spans="1:12" x14ac:dyDescent="0.3">
      <c r="A90" s="14" t="s">
        <v>59</v>
      </c>
      <c r="B90" s="56">
        <v>125672</v>
      </c>
      <c r="C90" s="67">
        <v>85200</v>
      </c>
      <c r="D90" s="68">
        <f t="shared" si="25"/>
        <v>2556</v>
      </c>
      <c r="E90" s="67">
        <f t="shared" si="26"/>
        <v>11928</v>
      </c>
      <c r="F90" s="67">
        <f t="shared" si="27"/>
        <v>5964</v>
      </c>
      <c r="G90" s="67">
        <f t="shared" si="28"/>
        <v>105648</v>
      </c>
      <c r="H90" s="70">
        <f t="shared" si="29"/>
        <v>12677.76</v>
      </c>
      <c r="I90" s="71">
        <f t="shared" si="30"/>
        <v>2112.96</v>
      </c>
      <c r="J90" s="70">
        <f t="shared" si="31"/>
        <v>14790.720000000001</v>
      </c>
      <c r="K90" s="69">
        <f t="shared" si="32"/>
        <v>90857.279999999999</v>
      </c>
      <c r="L90" s="15" t="str">
        <f t="shared" si="33"/>
        <v>High Income</v>
      </c>
    </row>
    <row r="91" spans="1:12" x14ac:dyDescent="0.3">
      <c r="A91" s="14" t="s">
        <v>34</v>
      </c>
      <c r="B91" s="56">
        <v>125673</v>
      </c>
      <c r="C91" s="67">
        <v>95700</v>
      </c>
      <c r="D91" s="68">
        <f t="shared" si="25"/>
        <v>2871</v>
      </c>
      <c r="E91" s="67">
        <f t="shared" si="26"/>
        <v>13398</v>
      </c>
      <c r="F91" s="67">
        <f t="shared" si="27"/>
        <v>6699</v>
      </c>
      <c r="G91" s="67">
        <f t="shared" si="28"/>
        <v>118668</v>
      </c>
      <c r="H91" s="70">
        <f t="shared" si="29"/>
        <v>14240.16</v>
      </c>
      <c r="I91" s="71">
        <f t="shared" si="30"/>
        <v>2373.36</v>
      </c>
      <c r="J91" s="70">
        <f t="shared" si="31"/>
        <v>16613.52</v>
      </c>
      <c r="K91" s="69">
        <f t="shared" si="32"/>
        <v>102054.48</v>
      </c>
      <c r="L91" s="15" t="str">
        <f t="shared" si="33"/>
        <v>High Income</v>
      </c>
    </row>
    <row r="92" spans="1:12" x14ac:dyDescent="0.3">
      <c r="A92" s="14" t="s">
        <v>35</v>
      </c>
      <c r="B92" s="56">
        <v>125674</v>
      </c>
      <c r="C92" s="67">
        <v>110500</v>
      </c>
      <c r="D92" s="68">
        <f t="shared" si="25"/>
        <v>3315</v>
      </c>
      <c r="E92" s="67">
        <f t="shared" si="26"/>
        <v>15470</v>
      </c>
      <c r="F92" s="67">
        <f t="shared" si="27"/>
        <v>7735</v>
      </c>
      <c r="G92" s="67">
        <f t="shared" si="28"/>
        <v>137020</v>
      </c>
      <c r="H92" s="70">
        <f t="shared" si="29"/>
        <v>16442.400000000001</v>
      </c>
      <c r="I92" s="71">
        <f t="shared" si="30"/>
        <v>2740.4</v>
      </c>
      <c r="J92" s="70">
        <f t="shared" si="31"/>
        <v>19182.800000000003</v>
      </c>
      <c r="K92" s="69">
        <f t="shared" si="32"/>
        <v>117837.2</v>
      </c>
      <c r="L92" s="15" t="str">
        <f t="shared" si="33"/>
        <v>High Income</v>
      </c>
    </row>
    <row r="93" spans="1:12" x14ac:dyDescent="0.3">
      <c r="A93" s="14" t="s">
        <v>36</v>
      </c>
      <c r="B93" s="56">
        <v>125675</v>
      </c>
      <c r="C93" s="67">
        <v>62800</v>
      </c>
      <c r="D93" s="68">
        <f t="shared" si="25"/>
        <v>1884</v>
      </c>
      <c r="E93" s="67">
        <f t="shared" si="26"/>
        <v>8792</v>
      </c>
      <c r="F93" s="67">
        <f t="shared" si="27"/>
        <v>4396</v>
      </c>
      <c r="G93" s="67">
        <f t="shared" si="28"/>
        <v>77872</v>
      </c>
      <c r="H93" s="70">
        <f t="shared" si="29"/>
        <v>9344.64</v>
      </c>
      <c r="I93" s="71">
        <f t="shared" si="30"/>
        <v>1557.44</v>
      </c>
      <c r="J93" s="70">
        <f t="shared" si="31"/>
        <v>10902.08</v>
      </c>
      <c r="K93" s="69">
        <f t="shared" si="32"/>
        <v>66969.919999999998</v>
      </c>
      <c r="L93" s="15" t="str">
        <f t="shared" si="33"/>
        <v>High Income</v>
      </c>
    </row>
    <row r="107" spans="1:1" x14ac:dyDescent="0.3">
      <c r="A107" s="26"/>
    </row>
    <row r="108" spans="1:1" x14ac:dyDescent="0.3">
      <c r="A108" s="26"/>
    </row>
    <row r="109" spans="1:1" x14ac:dyDescent="0.3">
      <c r="A109" s="26"/>
    </row>
    <row r="110" spans="1:1" x14ac:dyDescent="0.3">
      <c r="A110" s="26"/>
    </row>
    <row r="111" spans="1:1" x14ac:dyDescent="0.3">
      <c r="A111" s="26"/>
    </row>
    <row r="112" spans="1:1" x14ac:dyDescent="0.3">
      <c r="A112" s="26"/>
    </row>
    <row r="113" spans="1:11" x14ac:dyDescent="0.3">
      <c r="A113" s="26"/>
      <c r="D113"/>
    </row>
    <row r="114" spans="1:11" x14ac:dyDescent="0.3">
      <c r="A114" s="26"/>
    </row>
    <row r="115" spans="1:11" x14ac:dyDescent="0.3">
      <c r="A115" s="26"/>
      <c r="C115" s="31" t="s">
        <v>84</v>
      </c>
      <c r="D115" t="s">
        <v>516</v>
      </c>
    </row>
    <row r="116" spans="1:11" x14ac:dyDescent="0.3">
      <c r="A116" s="26"/>
      <c r="C116" s="32" t="s">
        <v>30</v>
      </c>
      <c r="D116">
        <v>7841.76</v>
      </c>
    </row>
    <row r="117" spans="1:11" x14ac:dyDescent="0.3">
      <c r="A117" s="26"/>
      <c r="C117" s="32" t="s">
        <v>36</v>
      </c>
      <c r="D117">
        <v>9344.64</v>
      </c>
      <c r="G117" s="31" t="s">
        <v>84</v>
      </c>
      <c r="H117" t="s">
        <v>510</v>
      </c>
    </row>
    <row r="118" spans="1:11" x14ac:dyDescent="0.3">
      <c r="A118" s="26"/>
      <c r="C118" s="32" t="s">
        <v>34</v>
      </c>
      <c r="D118">
        <v>14240.16</v>
      </c>
      <c r="G118" s="32" t="s">
        <v>30</v>
      </c>
      <c r="H118">
        <v>52700</v>
      </c>
    </row>
    <row r="119" spans="1:11" x14ac:dyDescent="0.3">
      <c r="A119" s="26"/>
      <c r="C119" s="32" t="s">
        <v>12</v>
      </c>
      <c r="D119">
        <v>9344.64</v>
      </c>
      <c r="G119" s="32" t="s">
        <v>36</v>
      </c>
      <c r="H119">
        <v>62800</v>
      </c>
    </row>
    <row r="120" spans="1:11" x14ac:dyDescent="0.3">
      <c r="A120" s="26"/>
      <c r="C120" s="32" t="s">
        <v>58</v>
      </c>
      <c r="D120">
        <v>18704.16</v>
      </c>
      <c r="G120" s="32" t="s">
        <v>34</v>
      </c>
      <c r="H120">
        <v>95700</v>
      </c>
    </row>
    <row r="121" spans="1:11" x14ac:dyDescent="0.3">
      <c r="A121" s="26"/>
      <c r="C121" s="32" t="s">
        <v>13</v>
      </c>
      <c r="D121">
        <v>14880</v>
      </c>
      <c r="G121" s="32" t="s">
        <v>12</v>
      </c>
      <c r="H121">
        <v>62800</v>
      </c>
    </row>
    <row r="122" spans="1:11" x14ac:dyDescent="0.3">
      <c r="A122" s="26"/>
      <c r="C122" s="32" t="s">
        <v>35</v>
      </c>
      <c r="D122">
        <v>16442.400000000001</v>
      </c>
      <c r="G122" s="32" t="s">
        <v>58</v>
      </c>
      <c r="H122">
        <v>125700</v>
      </c>
      <c r="J122" s="31" t="s">
        <v>84</v>
      </c>
      <c r="K122" t="s">
        <v>513</v>
      </c>
    </row>
    <row r="123" spans="1:11" x14ac:dyDescent="0.3">
      <c r="A123" s="26"/>
      <c r="C123" s="32" t="s">
        <v>9</v>
      </c>
      <c r="D123">
        <v>6324</v>
      </c>
      <c r="G123" s="32" t="s">
        <v>13</v>
      </c>
      <c r="H123">
        <v>100000</v>
      </c>
      <c r="J123" s="32" t="s">
        <v>511</v>
      </c>
      <c r="K123">
        <v>11</v>
      </c>
    </row>
    <row r="124" spans="1:11" x14ac:dyDescent="0.3">
      <c r="A124" s="26"/>
      <c r="C124" s="32" t="s">
        <v>31</v>
      </c>
      <c r="D124">
        <v>8303.0400000000009</v>
      </c>
      <c r="G124" s="32" t="s">
        <v>35</v>
      </c>
      <c r="H124">
        <v>110500</v>
      </c>
      <c r="J124" s="32" t="s">
        <v>512</v>
      </c>
      <c r="K124">
        <v>7</v>
      </c>
    </row>
    <row r="125" spans="1:11" x14ac:dyDescent="0.3">
      <c r="A125" s="26"/>
      <c r="C125" s="32" t="s">
        <v>10</v>
      </c>
      <c r="D125">
        <v>4836</v>
      </c>
      <c r="G125" s="32" t="s">
        <v>9</v>
      </c>
      <c r="H125">
        <v>42500</v>
      </c>
      <c r="J125" s="32" t="s">
        <v>85</v>
      </c>
      <c r="K125">
        <v>18</v>
      </c>
    </row>
    <row r="126" spans="1:11" x14ac:dyDescent="0.3">
      <c r="A126" s="26"/>
      <c r="C126" s="32" t="s">
        <v>57</v>
      </c>
      <c r="D126">
        <v>6740.64</v>
      </c>
      <c r="G126" s="32" t="s">
        <v>31</v>
      </c>
      <c r="H126">
        <v>55800</v>
      </c>
    </row>
    <row r="127" spans="1:11" x14ac:dyDescent="0.3">
      <c r="A127" s="26"/>
      <c r="C127" s="32" t="s">
        <v>8</v>
      </c>
      <c r="D127">
        <v>520.79999999999995</v>
      </c>
      <c r="G127" s="32" t="s">
        <v>10</v>
      </c>
      <c r="H127">
        <v>32500</v>
      </c>
    </row>
    <row r="128" spans="1:11" x14ac:dyDescent="0.3">
      <c r="A128" s="26"/>
      <c r="C128" s="32" t="s">
        <v>59</v>
      </c>
      <c r="D128">
        <v>12677.76</v>
      </c>
      <c r="G128" s="32" t="s">
        <v>57</v>
      </c>
      <c r="H128">
        <v>45300</v>
      </c>
    </row>
    <row r="129" spans="1:12" x14ac:dyDescent="0.3">
      <c r="A129" s="26"/>
      <c r="C129" s="32" t="s">
        <v>6</v>
      </c>
      <c r="D129">
        <v>14255.04</v>
      </c>
      <c r="G129" s="32" t="s">
        <v>8</v>
      </c>
      <c r="H129">
        <v>3500</v>
      </c>
    </row>
    <row r="130" spans="1:12" x14ac:dyDescent="0.3">
      <c r="A130" s="26"/>
      <c r="C130" s="32" t="s">
        <v>7</v>
      </c>
      <c r="D130">
        <v>7216.8</v>
      </c>
      <c r="G130" s="32" t="s">
        <v>59</v>
      </c>
      <c r="H130">
        <v>85200</v>
      </c>
      <c r="K130" s="31" t="s">
        <v>84</v>
      </c>
      <c r="L130" t="s">
        <v>513</v>
      </c>
    </row>
    <row r="131" spans="1:12" x14ac:dyDescent="0.3">
      <c r="A131" s="26"/>
      <c r="C131" s="32" t="s">
        <v>11</v>
      </c>
      <c r="D131">
        <v>3392.64</v>
      </c>
      <c r="G131" s="32" t="s">
        <v>6</v>
      </c>
      <c r="H131">
        <v>95800</v>
      </c>
      <c r="K131" s="32" t="s">
        <v>511</v>
      </c>
      <c r="L131">
        <v>11</v>
      </c>
    </row>
    <row r="132" spans="1:12" x14ac:dyDescent="0.3">
      <c r="A132" s="26"/>
      <c r="C132" s="32" t="s">
        <v>85</v>
      </c>
      <c r="D132">
        <v>155064.48000000001</v>
      </c>
      <c r="G132" s="32" t="s">
        <v>7</v>
      </c>
      <c r="H132">
        <v>48500</v>
      </c>
      <c r="K132" s="32" t="s">
        <v>512</v>
      </c>
      <c r="L132">
        <v>7</v>
      </c>
    </row>
    <row r="133" spans="1:12" x14ac:dyDescent="0.3">
      <c r="A133" s="26"/>
      <c r="D133"/>
      <c r="G133" s="32" t="s">
        <v>11</v>
      </c>
      <c r="H133">
        <v>22800</v>
      </c>
      <c r="K133" s="32" t="s">
        <v>85</v>
      </c>
      <c r="L133">
        <v>18</v>
      </c>
    </row>
    <row r="134" spans="1:12" x14ac:dyDescent="0.3">
      <c r="A134" s="25"/>
      <c r="G134" s="32" t="s">
        <v>85</v>
      </c>
      <c r="H134">
        <v>1042100</v>
      </c>
    </row>
    <row r="135" spans="1:12" x14ac:dyDescent="0.3">
      <c r="A135" s="25"/>
    </row>
    <row r="136" spans="1:12" x14ac:dyDescent="0.3">
      <c r="A136" s="25"/>
    </row>
    <row r="137" spans="1:12" x14ac:dyDescent="0.3">
      <c r="A137" s="25"/>
    </row>
  </sheetData>
  <autoFilter ref="A54:P70" xr:uid="{2600417A-E936-463E-848C-2362479F9BD7}">
    <filterColumn colId="0">
      <customFilters>
        <customFilter operator="notEqual" val=" "/>
      </customFilters>
    </filterColumn>
    <filterColumn colId="2" showButton="0"/>
    <filterColumn colId="3" showButton="0"/>
    <filterColumn colId="4" showButton="0"/>
    <filterColumn colId="5" showButton="0"/>
    <filterColumn colId="6" showButton="0"/>
  </autoFilter>
  <mergeCells count="34">
    <mergeCell ref="L73:L75"/>
    <mergeCell ref="K73:K75"/>
    <mergeCell ref="A54:A55"/>
    <mergeCell ref="B54:B55"/>
    <mergeCell ref="C54:H54"/>
    <mergeCell ref="L54:L55"/>
    <mergeCell ref="A73:A75"/>
    <mergeCell ref="B73:B75"/>
    <mergeCell ref="C73:C75"/>
    <mergeCell ref="D73:D75"/>
    <mergeCell ref="E73:E75"/>
    <mergeCell ref="F73:F75"/>
    <mergeCell ref="G73:G75"/>
    <mergeCell ref="H73:H75"/>
    <mergeCell ref="I73:I75"/>
    <mergeCell ref="J73:J75"/>
    <mergeCell ref="A13:A15"/>
    <mergeCell ref="B13:B15"/>
    <mergeCell ref="P54:P55"/>
    <mergeCell ref="I54:I55"/>
    <mergeCell ref="K54:K55"/>
    <mergeCell ref="N54:N55"/>
    <mergeCell ref="M54:M55"/>
    <mergeCell ref="J54:J55"/>
    <mergeCell ref="I13:I15"/>
    <mergeCell ref="C13:H14"/>
    <mergeCell ref="O54:O55"/>
    <mergeCell ref="O13:O15"/>
    <mergeCell ref="J13:J15"/>
    <mergeCell ref="P13:P15"/>
    <mergeCell ref="K13:K15"/>
    <mergeCell ref="L13:L15"/>
    <mergeCell ref="M13:M15"/>
    <mergeCell ref="N13:N15"/>
  </mergeCells>
  <phoneticPr fontId="6" type="noConversion"/>
  <conditionalFormatting sqref="I16:J27">
    <cfRule type="cellIs" dxfId="17" priority="13" operator="lessThan">
      <formula>300</formula>
    </cfRule>
    <cfRule type="cellIs" dxfId="16" priority="14" operator="greaterThan">
      <formula>300</formula>
    </cfRule>
  </conditionalFormatting>
  <conditionalFormatting sqref="J35:J52">
    <cfRule type="containsText" dxfId="15" priority="3" operator="containsText" text="Office Superintendent">
      <formula>NOT(ISERROR(SEARCH("Office Superintendent",J35)))</formula>
    </cfRule>
    <cfRule type="containsText" dxfId="14" priority="4" operator="containsText" text="Clerk">
      <formula>NOT(ISERROR(SEARCH("Clerk",J35)))</formula>
    </cfRule>
    <cfRule type="containsText" dxfId="13" priority="5" operator="containsText" text="Officer">
      <formula>NOT(ISERROR(SEARCH("Officer",J35)))</formula>
    </cfRule>
  </conditionalFormatting>
  <conditionalFormatting sqref="J56:J70">
    <cfRule type="cellIs" dxfId="12" priority="6" operator="between">
      <formula>99</formula>
      <formula>174</formula>
    </cfRule>
    <cfRule type="cellIs" dxfId="11" priority="8" operator="lessThan">
      <formula>200</formula>
    </cfRule>
    <cfRule type="cellIs" dxfId="10" priority="10" operator="lessThan">
      <formula>200</formula>
    </cfRule>
    <cfRule type="cellIs" dxfId="9" priority="12" operator="greaterThan">
      <formula>500</formula>
    </cfRule>
  </conditionalFormatting>
  <conditionalFormatting sqref="J64">
    <cfRule type="cellIs" dxfId="8" priority="7" operator="between">
      <formula>99</formula>
      <formula>174</formula>
    </cfRule>
    <cfRule type="cellIs" dxfId="7" priority="9" operator="lessThan">
      <formula>200</formula>
    </cfRule>
  </conditionalFormatting>
  <conditionalFormatting sqref="K76:K93">
    <cfRule type="cellIs" dxfId="6" priority="15" operator="greaterThan">
      <formula>90000</formula>
    </cfRule>
  </conditionalFormatting>
  <conditionalFormatting sqref="K77:K93">
    <cfRule type="cellIs" dxfId="5" priority="16" operator="between">
      <formula>32259</formula>
      <formula>89311</formula>
    </cfRule>
    <cfRule type="cellIs" dxfId="4" priority="17" operator="between">
      <formula>30000</formula>
      <formula>90000</formula>
    </cfRule>
    <cfRule type="cellIs" dxfId="3" priority="18" operator="lessThan">
      <formula>30000</formula>
    </cfRule>
  </conditionalFormatting>
  <conditionalFormatting sqref="L76:L93">
    <cfRule type="containsText" dxfId="2" priority="1" operator="containsText" text="Low Income">
      <formula>NOT(ISERROR(SEARCH("Low Income",L76)))</formula>
    </cfRule>
    <cfRule type="containsText" dxfId="1" priority="2" operator="containsText" text="High Income">
      <formula>NOT(ISERROR(SEARCH("High Income",L76)))</formula>
    </cfRule>
  </conditionalFormatting>
  <conditionalFormatting sqref="M16:M27">
    <cfRule type="containsText" dxfId="0" priority="43" operator="containsText" text="h">
      <formula>NOT(ISERROR(SEARCH("h",M16)))</formula>
    </cfRule>
  </conditionalFormatting>
  <pageMargins left="0.7" right="0.7" top="0.75" bottom="0.75" header="0.3" footer="0.3"/>
  <pageSetup paperSize="9" orientation="landscape" r:id="rId5"/>
  <ignoredErrors>
    <ignoredError sqref="N17:N20 N22:N27" formulaRange="1"/>
  </ignoredErrors>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ECE46-5310-4706-9DA2-C9B2C4356910}">
  <dimension ref="A2:G17"/>
  <sheetViews>
    <sheetView zoomScale="104" workbookViewId="0">
      <selection activeCell="B11" sqref="B11"/>
    </sheetView>
  </sheetViews>
  <sheetFormatPr defaultRowHeight="14.4" x14ac:dyDescent="0.3"/>
  <cols>
    <col min="1" max="1" width="12.6640625" bestFit="1" customWidth="1"/>
    <col min="2" max="2" width="15.5546875" bestFit="1" customWidth="1"/>
    <col min="3" max="3" width="5.21875" bestFit="1" customWidth="1"/>
    <col min="4" max="6" width="8.44140625" bestFit="1" customWidth="1"/>
    <col min="7" max="7" width="10.77734375" bestFit="1" customWidth="1"/>
    <col min="8" max="8" width="8.5546875" bestFit="1" customWidth="1"/>
    <col min="9" max="9" width="9.5546875" bestFit="1" customWidth="1"/>
    <col min="10" max="10" width="7.33203125" bestFit="1" customWidth="1"/>
    <col min="11" max="11" width="12.33203125" bestFit="1" customWidth="1"/>
    <col min="12" max="12" width="9.109375" bestFit="1" customWidth="1"/>
    <col min="13" max="14" width="7.33203125" bestFit="1" customWidth="1"/>
    <col min="15" max="15" width="11.77734375" bestFit="1" customWidth="1"/>
    <col min="16" max="16" width="7.6640625" bestFit="1" customWidth="1"/>
    <col min="17" max="18" width="7.33203125" bestFit="1" customWidth="1"/>
    <col min="19" max="19" width="6.33203125" bestFit="1" customWidth="1"/>
    <col min="20" max="20" width="10.33203125" bestFit="1" customWidth="1"/>
    <col min="21" max="21" width="7.6640625" bestFit="1" customWidth="1"/>
    <col min="22" max="22" width="5.109375" bestFit="1" customWidth="1"/>
    <col min="23" max="23" width="8.44140625" bestFit="1" customWidth="1"/>
    <col min="24" max="24" width="10.33203125" bestFit="1" customWidth="1"/>
    <col min="25" max="25" width="9.6640625" bestFit="1" customWidth="1"/>
    <col min="26" max="26" width="7.33203125" bestFit="1" customWidth="1"/>
    <col min="27" max="27" width="6.33203125" bestFit="1" customWidth="1"/>
    <col min="28" max="28" width="12.33203125" bestFit="1" customWidth="1"/>
    <col min="29" max="29" width="8.6640625" bestFit="1" customWidth="1"/>
    <col min="30" max="30" width="7.33203125" bestFit="1" customWidth="1"/>
    <col min="31" max="31" width="8.44140625" bestFit="1" customWidth="1"/>
    <col min="32" max="32" width="11.33203125" bestFit="1" customWidth="1"/>
    <col min="33" max="33" width="7.88671875" bestFit="1" customWidth="1"/>
    <col min="34" max="34" width="5.109375" bestFit="1" customWidth="1"/>
    <col min="35" max="35" width="6.33203125" bestFit="1" customWidth="1"/>
    <col min="36" max="36" width="10.5546875" bestFit="1" customWidth="1"/>
    <col min="37" max="37" width="9.44140625" bestFit="1" customWidth="1"/>
    <col min="38" max="38" width="5.109375" bestFit="1" customWidth="1"/>
    <col min="39" max="40" width="7.33203125" bestFit="1" customWidth="1"/>
    <col min="41" max="41" width="12.109375" bestFit="1" customWidth="1"/>
    <col min="42" max="42" width="12" bestFit="1" customWidth="1"/>
    <col min="43" max="43" width="6.33203125" bestFit="1" customWidth="1"/>
    <col min="44" max="44" width="14.77734375" bestFit="1" customWidth="1"/>
    <col min="45" max="45" width="10.77734375" bestFit="1" customWidth="1"/>
    <col min="46" max="46" width="7.44140625" bestFit="1" customWidth="1"/>
    <col min="47" max="47" width="13.109375" bestFit="1" customWidth="1"/>
    <col min="48" max="48" width="7.44140625" bestFit="1" customWidth="1"/>
    <col min="49" max="49" width="13.109375" bestFit="1" customWidth="1"/>
    <col min="50" max="50" width="7.44140625" bestFit="1" customWidth="1"/>
    <col min="51" max="51" width="13.109375" bestFit="1" customWidth="1"/>
    <col min="52" max="52" width="7.44140625" bestFit="1" customWidth="1"/>
    <col min="53" max="53" width="13.109375" bestFit="1" customWidth="1"/>
    <col min="54" max="54" width="7.44140625" bestFit="1" customWidth="1"/>
    <col min="55" max="55" width="7.33203125" bestFit="1" customWidth="1"/>
    <col min="56" max="56" width="13.109375" bestFit="1" customWidth="1"/>
    <col min="57" max="57" width="7.44140625" bestFit="1" customWidth="1"/>
    <col min="58" max="58" width="13.109375" bestFit="1" customWidth="1"/>
    <col min="59" max="59" width="7.44140625" bestFit="1" customWidth="1"/>
    <col min="60" max="60" width="13.109375" bestFit="1" customWidth="1"/>
    <col min="61" max="61" width="7.44140625" bestFit="1" customWidth="1"/>
    <col min="62" max="62" width="13.109375" bestFit="1" customWidth="1"/>
    <col min="63" max="63" width="7.44140625" bestFit="1" customWidth="1"/>
    <col min="64" max="64" width="13.109375" bestFit="1" customWidth="1"/>
    <col min="65" max="65" width="7.44140625" bestFit="1" customWidth="1"/>
    <col min="66" max="66" width="13.109375" bestFit="1" customWidth="1"/>
    <col min="67" max="67" width="7.44140625" bestFit="1" customWidth="1"/>
    <col min="68" max="68" width="13.109375" bestFit="1" customWidth="1"/>
    <col min="69" max="69" width="7.44140625" bestFit="1" customWidth="1"/>
    <col min="70" max="70" width="13.109375" bestFit="1" customWidth="1"/>
    <col min="71" max="71" width="7.44140625" bestFit="1" customWidth="1"/>
    <col min="72" max="72" width="13.109375" bestFit="1" customWidth="1"/>
    <col min="73" max="73" width="9" bestFit="1" customWidth="1"/>
    <col min="74" max="74" width="14.6640625" bestFit="1" customWidth="1"/>
    <col min="75" max="75" width="9" bestFit="1" customWidth="1"/>
    <col min="76" max="76" width="14.6640625" bestFit="1" customWidth="1"/>
    <col min="77" max="77" width="9" bestFit="1" customWidth="1"/>
    <col min="78" max="78" width="14.6640625" bestFit="1" customWidth="1"/>
    <col min="79" max="79" width="9" bestFit="1" customWidth="1"/>
    <col min="80" max="80" width="14.6640625" bestFit="1" customWidth="1"/>
    <col min="81" max="81" width="9" bestFit="1" customWidth="1"/>
    <col min="82" max="82" width="14.6640625" bestFit="1" customWidth="1"/>
    <col min="83" max="83" width="9" bestFit="1" customWidth="1"/>
    <col min="84" max="84" width="14.6640625" bestFit="1" customWidth="1"/>
    <col min="85" max="85" width="11.6640625" bestFit="1" customWidth="1"/>
  </cols>
  <sheetData>
    <row r="2" spans="1:7" x14ac:dyDescent="0.3">
      <c r="A2" s="31" t="s">
        <v>61</v>
      </c>
      <c r="B2" t="s">
        <v>86</v>
      </c>
    </row>
    <row r="4" spans="1:7" x14ac:dyDescent="0.3">
      <c r="A4" s="31" t="s">
        <v>88</v>
      </c>
      <c r="B4" s="31" t="s">
        <v>87</v>
      </c>
    </row>
    <row r="5" spans="1:7" x14ac:dyDescent="0.3">
      <c r="A5" s="31" t="s">
        <v>84</v>
      </c>
      <c r="B5" t="s">
        <v>72</v>
      </c>
      <c r="C5" t="s">
        <v>67</v>
      </c>
      <c r="D5" t="s">
        <v>74</v>
      </c>
      <c r="E5" t="s">
        <v>76</v>
      </c>
      <c r="F5" t="s">
        <v>70</v>
      </c>
      <c r="G5" t="s">
        <v>85</v>
      </c>
    </row>
    <row r="6" spans="1:7" x14ac:dyDescent="0.3">
      <c r="A6" s="32" t="s">
        <v>73</v>
      </c>
      <c r="B6">
        <v>139.72</v>
      </c>
      <c r="F6">
        <v>298.64999999999998</v>
      </c>
      <c r="G6">
        <v>438.37</v>
      </c>
    </row>
    <row r="7" spans="1:7" x14ac:dyDescent="0.3">
      <c r="A7" s="32" t="s">
        <v>69</v>
      </c>
      <c r="B7">
        <v>1132.74</v>
      </c>
      <c r="D7">
        <v>539.7299999999999</v>
      </c>
      <c r="F7">
        <v>77.400000000000006</v>
      </c>
      <c r="G7">
        <v>1749.87</v>
      </c>
    </row>
    <row r="8" spans="1:7" x14ac:dyDescent="0.3">
      <c r="A8" s="32" t="s">
        <v>80</v>
      </c>
      <c r="B8">
        <v>57.71</v>
      </c>
      <c r="D8">
        <v>479.04</v>
      </c>
      <c r="G8">
        <v>536.75</v>
      </c>
    </row>
    <row r="9" spans="1:7" x14ac:dyDescent="0.3">
      <c r="A9" s="32" t="s">
        <v>71</v>
      </c>
      <c r="B9">
        <v>1933.95</v>
      </c>
      <c r="E9">
        <v>249.5</v>
      </c>
      <c r="F9">
        <v>628.74</v>
      </c>
      <c r="G9">
        <v>2812.1899999999996</v>
      </c>
    </row>
    <row r="10" spans="1:7" x14ac:dyDescent="0.3">
      <c r="A10" s="32" t="s">
        <v>78</v>
      </c>
      <c r="B10">
        <v>858.76</v>
      </c>
      <c r="D10">
        <v>575.36</v>
      </c>
      <c r="E10">
        <v>565.22</v>
      </c>
      <c r="F10">
        <v>363.70000000000005</v>
      </c>
      <c r="G10">
        <v>2363.04</v>
      </c>
    </row>
    <row r="11" spans="1:7" x14ac:dyDescent="0.3">
      <c r="A11" s="32" t="s">
        <v>68</v>
      </c>
      <c r="B11">
        <v>999.49999999999989</v>
      </c>
      <c r="C11">
        <v>625</v>
      </c>
      <c r="E11">
        <v>1484.94</v>
      </c>
      <c r="G11">
        <v>3109.44</v>
      </c>
    </row>
    <row r="12" spans="1:7" x14ac:dyDescent="0.3">
      <c r="A12" s="32" t="s">
        <v>75</v>
      </c>
      <c r="B12">
        <v>251.72</v>
      </c>
      <c r="E12">
        <v>686.95</v>
      </c>
      <c r="F12">
        <v>449.1</v>
      </c>
      <c r="G12">
        <v>1387.77</v>
      </c>
    </row>
    <row r="13" spans="1:7" x14ac:dyDescent="0.3">
      <c r="A13" s="32" t="s">
        <v>79</v>
      </c>
      <c r="B13">
        <v>1619.1899999999998</v>
      </c>
      <c r="D13">
        <v>299.84999999999997</v>
      </c>
      <c r="E13">
        <v>1183.26</v>
      </c>
      <c r="G13">
        <v>3102.2999999999997</v>
      </c>
    </row>
    <row r="14" spans="1:7" x14ac:dyDescent="0.3">
      <c r="A14" s="32" t="s">
        <v>66</v>
      </c>
      <c r="B14">
        <v>1305</v>
      </c>
      <c r="C14">
        <v>250</v>
      </c>
      <c r="F14">
        <v>86.43</v>
      </c>
      <c r="G14">
        <v>1641.43</v>
      </c>
    </row>
    <row r="15" spans="1:7" x14ac:dyDescent="0.3">
      <c r="A15" s="32" t="s">
        <v>82</v>
      </c>
      <c r="B15">
        <v>139.92999999999998</v>
      </c>
      <c r="C15">
        <v>825</v>
      </c>
      <c r="D15">
        <v>151.24</v>
      </c>
      <c r="F15">
        <v>167.44</v>
      </c>
      <c r="G15">
        <v>1283.6100000000001</v>
      </c>
    </row>
    <row r="16" spans="1:7" x14ac:dyDescent="0.3">
      <c r="A16" s="32" t="s">
        <v>83</v>
      </c>
      <c r="B16">
        <v>1139.4299999999998</v>
      </c>
      <c r="F16">
        <v>63.68</v>
      </c>
      <c r="G16">
        <v>1203.1099999999999</v>
      </c>
    </row>
    <row r="17" spans="1:7" x14ac:dyDescent="0.3">
      <c r="A17" s="32" t="s">
        <v>85</v>
      </c>
      <c r="B17">
        <v>9577.6500000000015</v>
      </c>
      <c r="C17">
        <v>1700</v>
      </c>
      <c r="D17">
        <v>2045.22</v>
      </c>
      <c r="E17">
        <v>4169.87</v>
      </c>
      <c r="F17">
        <v>2135.14</v>
      </c>
      <c r="G17">
        <v>19627.88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C97B6-48F2-4D43-BAE6-F96CEEC604E5}">
  <dimension ref="A1:U48"/>
  <sheetViews>
    <sheetView topLeftCell="B31" workbookViewId="0">
      <selection activeCell="O6" sqref="O6"/>
    </sheetView>
  </sheetViews>
  <sheetFormatPr defaultRowHeight="14.4" x14ac:dyDescent="0.3"/>
  <cols>
    <col min="1" max="1" width="17" style="25" bestFit="1" customWidth="1"/>
    <col min="2" max="2" width="10.33203125" bestFit="1" customWidth="1"/>
    <col min="8" max="8" width="9.21875" style="36" bestFit="1" customWidth="1"/>
    <col min="9" max="9" width="10.77734375" style="36" bestFit="1" customWidth="1"/>
    <col min="10" max="14" width="10.77734375" style="36" customWidth="1"/>
    <col min="15" max="15" width="9.44140625" bestFit="1" customWidth="1"/>
    <col min="16" max="16" width="6.33203125" bestFit="1" customWidth="1"/>
    <col min="17" max="17" width="5.5546875" bestFit="1" customWidth="1"/>
    <col min="18" max="18" width="10.21875" bestFit="1" customWidth="1"/>
  </cols>
  <sheetData>
    <row r="1" spans="1:21" x14ac:dyDescent="0.3">
      <c r="A1" s="39" t="s">
        <v>60</v>
      </c>
      <c r="B1" s="40" t="s">
        <v>61</v>
      </c>
      <c r="C1" s="40" t="s">
        <v>91</v>
      </c>
      <c r="D1" s="40" t="s">
        <v>93</v>
      </c>
      <c r="E1" s="41" t="s">
        <v>62</v>
      </c>
      <c r="F1" s="41" t="s">
        <v>94</v>
      </c>
      <c r="G1" s="42" t="s">
        <v>63</v>
      </c>
      <c r="H1" s="43" t="s">
        <v>64</v>
      </c>
      <c r="I1" s="44" t="s">
        <v>97</v>
      </c>
      <c r="J1" s="43" t="s">
        <v>96</v>
      </c>
      <c r="K1" s="35" t="s">
        <v>508</v>
      </c>
      <c r="L1" s="35" t="s">
        <v>101</v>
      </c>
      <c r="M1" s="35" t="s">
        <v>101</v>
      </c>
      <c r="N1" s="35"/>
      <c r="O1" s="35" t="s">
        <v>92</v>
      </c>
      <c r="P1" s="33" t="s">
        <v>94</v>
      </c>
      <c r="Q1" s="34" t="s">
        <v>63</v>
      </c>
      <c r="R1" s="34" t="s">
        <v>98</v>
      </c>
      <c r="S1" s="44" t="s">
        <v>1</v>
      </c>
      <c r="T1" s="35" t="s">
        <v>100</v>
      </c>
      <c r="U1" s="40" t="s">
        <v>61</v>
      </c>
    </row>
    <row r="2" spans="1:21" x14ac:dyDescent="0.3">
      <c r="A2" s="45">
        <v>41645</v>
      </c>
      <c r="B2" s="46" t="s">
        <v>65</v>
      </c>
      <c r="C2" s="46" t="s">
        <v>66</v>
      </c>
      <c r="D2" s="46" t="str">
        <f>CONCATENATE(C2," ",(COUNTIF($C$2:C2,C2)))</f>
        <v>Smith 1</v>
      </c>
      <c r="E2" s="47" t="s">
        <v>67</v>
      </c>
      <c r="F2" s="47" t="str">
        <f>CONCATENATE(E2," ",(COUNTIF($E$2:E2,E2)))</f>
        <v>Desk 1</v>
      </c>
      <c r="G2" s="48">
        <v>2</v>
      </c>
      <c r="H2" s="49">
        <v>125</v>
      </c>
      <c r="I2" s="50">
        <f t="shared" ref="I2:I44" si="0">H2*G2</f>
        <v>250</v>
      </c>
      <c r="J2" s="50">
        <f>COUNTIFS(A2:A44,"&gt;="&amp;DATE(2014,1,1),A2:A44,"&lt;="&amp;DATE(2014,12,1))</f>
        <v>20</v>
      </c>
      <c r="K2" s="37" t="str">
        <f>IF(OR(H2&gt;=25,I2&gt;=26),"Perfect Value","Not a Perfect Value")</f>
        <v>Perfect Value</v>
      </c>
      <c r="L2" s="37" t="s">
        <v>506</v>
      </c>
      <c r="M2" s="36">
        <f>_xlfn.XLOOKUP($L$2,$F$2:$F$44,G2:G44,"Value not found",0,1)</f>
        <v>7</v>
      </c>
      <c r="N2" s="36">
        <f>_xlfn.XLOOKUP($L$2,$F$2:$F$44,H2:H44,"Value not found",0,1)</f>
        <v>1.29</v>
      </c>
      <c r="O2" s="25" t="s">
        <v>509</v>
      </c>
      <c r="P2" t="str">
        <f>VLOOKUP(O2,D2:I44,3,0)</f>
        <v>Pencil 13</v>
      </c>
      <c r="Q2">
        <f>VLOOKUP(O2,D2:I44,4,0)</f>
        <v>56</v>
      </c>
      <c r="R2">
        <f>VLOOKUP(O2,D2:H44,5,0)</f>
        <v>2.99</v>
      </c>
      <c r="S2">
        <f>VLOOKUP(O2,D2:I44,6,0)</f>
        <v>167.44</v>
      </c>
      <c r="T2" s="37" t="s">
        <v>77</v>
      </c>
      <c r="U2" t="str">
        <f>VLOOKUP(T2,B2:G44,1,0)</f>
        <v>East</v>
      </c>
    </row>
    <row r="3" spans="1:21" x14ac:dyDescent="0.3">
      <c r="A3" s="45">
        <v>41662</v>
      </c>
      <c r="B3" s="51" t="s">
        <v>65</v>
      </c>
      <c r="C3" s="51" t="s">
        <v>68</v>
      </c>
      <c r="D3" s="46" t="str">
        <f>CONCATENATE(C3," ",(COUNTIF($C$2:C3,C3)))</f>
        <v>Kivell 1</v>
      </c>
      <c r="E3" s="47" t="s">
        <v>67</v>
      </c>
      <c r="F3" s="47" t="str">
        <f>CONCATENATE(E3," ",(COUNTIF($E$2:E3,E3)))</f>
        <v>Desk 2</v>
      </c>
      <c r="G3" s="48">
        <v>5</v>
      </c>
      <c r="H3" s="49">
        <v>125</v>
      </c>
      <c r="I3" s="50">
        <f t="shared" si="0"/>
        <v>625</v>
      </c>
      <c r="J3" s="50">
        <f t="shared" ref="J3:J44" si="1">COUNTIFS(A3:A45,"&gt;="&amp;DATE(2014,1,1),A3:A45,"&lt;="&amp;DATE(2014,12,1))</f>
        <v>19</v>
      </c>
      <c r="K3" s="37" t="str">
        <f t="shared" ref="K3:K44" si="2">IF(OR(H3&gt;=25,I3&gt;=26),"Perfect Value","Not a Perfect Value")</f>
        <v>Perfect Value</v>
      </c>
      <c r="L3" s="37"/>
      <c r="M3" s="37"/>
      <c r="N3" s="37"/>
      <c r="O3" s="25"/>
    </row>
    <row r="4" spans="1:21" x14ac:dyDescent="0.3">
      <c r="A4" s="45">
        <v>41679</v>
      </c>
      <c r="B4" s="46" t="s">
        <v>65</v>
      </c>
      <c r="C4" s="46" t="s">
        <v>69</v>
      </c>
      <c r="D4" s="46" t="str">
        <f>CONCATENATE(C4," ",(COUNTIF($C$2:C4,C4)))</f>
        <v>Gill 1</v>
      </c>
      <c r="E4" s="47" t="s">
        <v>70</v>
      </c>
      <c r="F4" s="47" t="str">
        <f>CONCATENATE(E4," ",(COUNTIF($E$2:E4,E4)))</f>
        <v>Pencil 1</v>
      </c>
      <c r="G4" s="48">
        <v>7</v>
      </c>
      <c r="H4" s="49">
        <v>1.29</v>
      </c>
      <c r="I4" s="50">
        <f t="shared" si="0"/>
        <v>9.0300000000000011</v>
      </c>
      <c r="J4" s="50">
        <f>COUNTIFS(A4:A48,"&gt;="&amp;DATE(2014,1,1),A4:A48,"&lt;="&amp;DATE(2014,12,1))</f>
        <v>18</v>
      </c>
      <c r="K4" s="37" t="str">
        <f t="shared" si="2"/>
        <v>Not a Perfect Value</v>
      </c>
      <c r="L4" s="37"/>
      <c r="M4" s="37"/>
      <c r="N4" s="37"/>
      <c r="O4" s="25"/>
    </row>
    <row r="5" spans="1:21" x14ac:dyDescent="0.3">
      <c r="A5" s="45">
        <v>41696</v>
      </c>
      <c r="B5" s="51" t="s">
        <v>65</v>
      </c>
      <c r="C5" s="46" t="s">
        <v>71</v>
      </c>
      <c r="D5" s="46" t="str">
        <f>CONCATENATE(C5," ",(COUNTIF($C$2:C5,C5)))</f>
        <v>Jardine 1</v>
      </c>
      <c r="E5" s="47" t="s">
        <v>72</v>
      </c>
      <c r="F5" s="47" t="str">
        <f>CONCATENATE(E5," ",(COUNTIF($E$2:E5,E5)))</f>
        <v>Binder 1</v>
      </c>
      <c r="G5" s="48">
        <v>11</v>
      </c>
      <c r="H5" s="49">
        <v>4.99</v>
      </c>
      <c r="I5" s="50">
        <f t="shared" si="0"/>
        <v>54.89</v>
      </c>
      <c r="J5" s="50">
        <f t="shared" si="1"/>
        <v>17</v>
      </c>
      <c r="K5" s="37" t="str">
        <f t="shared" si="2"/>
        <v>Perfect Value</v>
      </c>
      <c r="L5" s="37"/>
      <c r="M5" s="37"/>
      <c r="N5" s="37"/>
      <c r="O5" s="25"/>
    </row>
    <row r="6" spans="1:21" x14ac:dyDescent="0.3">
      <c r="A6" s="45">
        <v>41713</v>
      </c>
      <c r="B6" s="46" t="s">
        <v>65</v>
      </c>
      <c r="C6" s="46" t="s">
        <v>73</v>
      </c>
      <c r="D6" s="46" t="str">
        <f>CONCATENATE(C6," ",(COUNTIF($C$2:C6,C6)))</f>
        <v>Andrews 1</v>
      </c>
      <c r="E6" s="47" t="s">
        <v>70</v>
      </c>
      <c r="F6" s="47" t="str">
        <f>CONCATENATE(E6," ",(COUNTIF($E$2:E6,E6)))</f>
        <v>Pencil 2</v>
      </c>
      <c r="G6" s="48">
        <v>14</v>
      </c>
      <c r="H6" s="49">
        <v>1.29</v>
      </c>
      <c r="I6" s="50">
        <f t="shared" si="0"/>
        <v>18.060000000000002</v>
      </c>
      <c r="J6" s="50">
        <f>COUNTIFS(A6:A48,"&gt;="&amp;DATE(2014,1,1),A6:A48,"&lt;="&amp;DATE(2014,12,1))</f>
        <v>16</v>
      </c>
      <c r="K6" s="37" t="str">
        <f t="shared" si="2"/>
        <v>Not a Perfect Value</v>
      </c>
      <c r="L6" s="37"/>
      <c r="M6" s="37"/>
      <c r="N6" s="37"/>
      <c r="O6" s="25"/>
    </row>
    <row r="7" spans="1:21" x14ac:dyDescent="0.3">
      <c r="A7" s="45">
        <v>41730</v>
      </c>
      <c r="B7" s="46" t="s">
        <v>65</v>
      </c>
      <c r="C7" s="46" t="s">
        <v>69</v>
      </c>
      <c r="D7" s="46" t="str">
        <f>CONCATENATE(C7," ",(COUNTIF($C$2:C7,C7)))</f>
        <v>Gill 2</v>
      </c>
      <c r="E7" s="47" t="s">
        <v>74</v>
      </c>
      <c r="F7" s="47" t="str">
        <f>CONCATENATE(E7," ",(COUNTIF($E$2:E7,E7)))</f>
        <v>Pen 1</v>
      </c>
      <c r="G7" s="48">
        <v>27</v>
      </c>
      <c r="H7" s="49">
        <v>19.989999999999998</v>
      </c>
      <c r="I7" s="50">
        <f t="shared" si="0"/>
        <v>539.7299999999999</v>
      </c>
      <c r="J7" s="50">
        <f t="shared" si="1"/>
        <v>15</v>
      </c>
      <c r="K7" s="37" t="str">
        <f t="shared" si="2"/>
        <v>Perfect Value</v>
      </c>
      <c r="L7" s="37"/>
      <c r="M7" s="37"/>
      <c r="N7" s="37"/>
    </row>
    <row r="8" spans="1:21" x14ac:dyDescent="0.3">
      <c r="A8" s="45">
        <v>41747</v>
      </c>
      <c r="B8" s="51" t="s">
        <v>65</v>
      </c>
      <c r="C8" s="51" t="s">
        <v>75</v>
      </c>
      <c r="D8" s="46" t="str">
        <f>CONCATENATE(C8," ",(COUNTIF($C$2:C8,C8)))</f>
        <v>Morgan 1</v>
      </c>
      <c r="E8" s="47" t="s">
        <v>72</v>
      </c>
      <c r="F8" s="47" t="str">
        <f>CONCATENATE(E8," ",(COUNTIF($E$2:E8,E8)))</f>
        <v>Binder 2</v>
      </c>
      <c r="G8" s="48">
        <v>28</v>
      </c>
      <c r="H8" s="49">
        <v>8.99</v>
      </c>
      <c r="I8" s="50">
        <f t="shared" si="0"/>
        <v>251.72</v>
      </c>
      <c r="J8" s="50">
        <f t="shared" si="1"/>
        <v>14</v>
      </c>
      <c r="K8" s="37" t="str">
        <f t="shared" si="2"/>
        <v>Perfect Value</v>
      </c>
      <c r="L8" s="37"/>
      <c r="M8" s="37"/>
      <c r="N8" s="37"/>
    </row>
    <row r="9" spans="1:21" x14ac:dyDescent="0.3">
      <c r="A9" s="45">
        <v>41764</v>
      </c>
      <c r="B9" s="46" t="s">
        <v>65</v>
      </c>
      <c r="C9" s="46" t="s">
        <v>73</v>
      </c>
      <c r="D9" s="46" t="str">
        <f>CONCATENATE(C9," ",(COUNTIF($C$2:C9,C9)))</f>
        <v>Andrews 2</v>
      </c>
      <c r="E9" s="47" t="s">
        <v>72</v>
      </c>
      <c r="F9" s="47" t="str">
        <f>CONCATENATE(E9," ",(COUNTIF($E$2:E9,E9)))</f>
        <v>Binder 3</v>
      </c>
      <c r="G9" s="48">
        <v>28</v>
      </c>
      <c r="H9" s="49">
        <v>4.99</v>
      </c>
      <c r="I9" s="50">
        <f t="shared" si="0"/>
        <v>139.72</v>
      </c>
      <c r="J9" s="50">
        <f t="shared" si="1"/>
        <v>13</v>
      </c>
      <c r="K9" s="37" t="str">
        <f t="shared" si="2"/>
        <v>Perfect Value</v>
      </c>
      <c r="L9" s="37"/>
      <c r="M9" s="37"/>
      <c r="N9" s="37"/>
    </row>
    <row r="10" spans="1:21" x14ac:dyDescent="0.3">
      <c r="A10" s="45">
        <v>41781</v>
      </c>
      <c r="B10" s="51" t="s">
        <v>65</v>
      </c>
      <c r="C10" s="46" t="s">
        <v>71</v>
      </c>
      <c r="D10" s="46" t="str">
        <f>CONCATENATE(C10," ",(COUNTIF($C$2:C10,C10)))</f>
        <v>Jardine 2</v>
      </c>
      <c r="E10" s="47" t="s">
        <v>70</v>
      </c>
      <c r="F10" s="47" t="str">
        <f>CONCATENATE(E10," ",(COUNTIF($E$2:E10,E10)))</f>
        <v>Pencil 3</v>
      </c>
      <c r="G10" s="48">
        <v>36</v>
      </c>
      <c r="H10" s="49">
        <v>4.99</v>
      </c>
      <c r="I10" s="50">
        <f t="shared" si="0"/>
        <v>179.64000000000001</v>
      </c>
      <c r="J10" s="50">
        <f t="shared" si="1"/>
        <v>12</v>
      </c>
      <c r="K10" s="37" t="str">
        <f t="shared" si="2"/>
        <v>Perfect Value</v>
      </c>
      <c r="L10" s="37"/>
      <c r="M10" s="37"/>
      <c r="N10" s="37"/>
    </row>
    <row r="11" spans="1:21" x14ac:dyDescent="0.3">
      <c r="A11" s="45">
        <v>41798</v>
      </c>
      <c r="B11" s="51" t="s">
        <v>65</v>
      </c>
      <c r="C11" s="46" t="s">
        <v>68</v>
      </c>
      <c r="D11" s="46" t="str">
        <f>CONCATENATE(C11," ",(COUNTIF($C$2:C11,C11)))</f>
        <v>Kivell 2</v>
      </c>
      <c r="E11" s="47" t="s">
        <v>76</v>
      </c>
      <c r="F11" s="47" t="str">
        <f>CONCATENATE(E11," ",(COUNTIF($E$2:E11,E11)))</f>
        <v>Pen Set 1</v>
      </c>
      <c r="G11" s="48">
        <v>42</v>
      </c>
      <c r="H11" s="49">
        <v>23.95</v>
      </c>
      <c r="I11" s="50">
        <f t="shared" si="0"/>
        <v>1005.9</v>
      </c>
      <c r="J11" s="50">
        <f t="shared" si="1"/>
        <v>11</v>
      </c>
      <c r="K11" s="37" t="str">
        <f t="shared" si="2"/>
        <v>Perfect Value</v>
      </c>
      <c r="L11" s="37"/>
      <c r="M11" s="37"/>
      <c r="N11" s="37"/>
    </row>
    <row r="12" spans="1:21" x14ac:dyDescent="0.3">
      <c r="A12" s="45">
        <v>41815</v>
      </c>
      <c r="B12" s="46" t="s">
        <v>65</v>
      </c>
      <c r="C12" s="46" t="s">
        <v>69</v>
      </c>
      <c r="D12" s="46" t="str">
        <f>CONCATENATE(C12," ",(COUNTIF($C$2:C12,C12)))</f>
        <v>Gill 3</v>
      </c>
      <c r="E12" s="47" t="s">
        <v>72</v>
      </c>
      <c r="F12" s="47" t="str">
        <f>CONCATENATE(E12," ",(COUNTIF($E$2:E12,E12)))</f>
        <v>Binder 4</v>
      </c>
      <c r="G12" s="48">
        <v>46</v>
      </c>
      <c r="H12" s="49">
        <v>8.99</v>
      </c>
      <c r="I12" s="50">
        <f t="shared" si="0"/>
        <v>413.54</v>
      </c>
      <c r="J12" s="50">
        <f t="shared" si="1"/>
        <v>10</v>
      </c>
      <c r="K12" s="37" t="str">
        <f t="shared" si="2"/>
        <v>Perfect Value</v>
      </c>
      <c r="L12" s="37"/>
      <c r="M12" s="37"/>
      <c r="N12" s="37"/>
    </row>
    <row r="13" spans="1:21" x14ac:dyDescent="0.3">
      <c r="A13" s="45">
        <v>41832</v>
      </c>
      <c r="B13" s="51" t="s">
        <v>65</v>
      </c>
      <c r="C13" s="51" t="s">
        <v>68</v>
      </c>
      <c r="D13" s="46" t="str">
        <f>CONCATENATE(C13," ",(COUNTIF($C$2:C13,C13)))</f>
        <v>Kivell 3</v>
      </c>
      <c r="E13" s="47" t="s">
        <v>72</v>
      </c>
      <c r="F13" s="47" t="str">
        <f>CONCATENATE(E13," ",(COUNTIF($E$2:E13,E13)))</f>
        <v>Binder 5</v>
      </c>
      <c r="G13" s="48">
        <v>50</v>
      </c>
      <c r="H13" s="49">
        <v>19.989999999999998</v>
      </c>
      <c r="I13" s="50">
        <f t="shared" si="0"/>
        <v>999.49999999999989</v>
      </c>
      <c r="J13" s="50">
        <f t="shared" si="1"/>
        <v>9</v>
      </c>
      <c r="K13" s="37" t="str">
        <f t="shared" si="2"/>
        <v>Perfect Value</v>
      </c>
      <c r="L13" s="37"/>
      <c r="M13" s="37"/>
      <c r="N13" s="37"/>
    </row>
    <row r="14" spans="1:21" x14ac:dyDescent="0.3">
      <c r="A14" s="45">
        <v>41849</v>
      </c>
      <c r="B14" s="51" t="s">
        <v>65</v>
      </c>
      <c r="C14" s="46" t="s">
        <v>71</v>
      </c>
      <c r="D14" s="46" t="str">
        <f>CONCATENATE(C14," ",(COUNTIF($C$2:C14,C14)))</f>
        <v>Jardine 3</v>
      </c>
      <c r="E14" s="47" t="s">
        <v>76</v>
      </c>
      <c r="F14" s="47" t="str">
        <f>CONCATENATE(E14," ",(COUNTIF($E$2:E14,E14)))</f>
        <v>Pen Set 2</v>
      </c>
      <c r="G14" s="48">
        <v>50</v>
      </c>
      <c r="H14" s="49">
        <v>4.99</v>
      </c>
      <c r="I14" s="50">
        <f t="shared" si="0"/>
        <v>249.5</v>
      </c>
      <c r="J14" s="50">
        <f t="shared" si="1"/>
        <v>8</v>
      </c>
      <c r="K14" s="37" t="str">
        <f t="shared" si="2"/>
        <v>Perfect Value</v>
      </c>
      <c r="L14" s="37"/>
      <c r="M14" s="37"/>
      <c r="N14" s="37"/>
    </row>
    <row r="15" spans="1:21" x14ac:dyDescent="0.3">
      <c r="A15" s="45">
        <v>41866</v>
      </c>
      <c r="B15" s="46" t="s">
        <v>65</v>
      </c>
      <c r="C15" s="46" t="s">
        <v>69</v>
      </c>
      <c r="D15" s="46" t="str">
        <f>CONCATENATE(C15," ",(COUNTIF($C$2:C15,C15)))</f>
        <v>Gill 4</v>
      </c>
      <c r="E15" s="47" t="s">
        <v>70</v>
      </c>
      <c r="F15" s="47" t="str">
        <f>CONCATENATE(E15," ",(COUNTIF($E$2:E15,E15)))</f>
        <v>Pencil 4</v>
      </c>
      <c r="G15" s="48">
        <v>53</v>
      </c>
      <c r="H15" s="49">
        <v>1.29</v>
      </c>
      <c r="I15" s="50">
        <f t="shared" si="0"/>
        <v>68.37</v>
      </c>
      <c r="J15" s="50">
        <f t="shared" si="1"/>
        <v>7</v>
      </c>
      <c r="K15" s="37" t="str">
        <f t="shared" si="2"/>
        <v>Perfect Value</v>
      </c>
      <c r="L15" s="37"/>
      <c r="M15" s="37"/>
      <c r="N15" s="37"/>
    </row>
    <row r="16" spans="1:21" x14ac:dyDescent="0.3">
      <c r="A16" s="45">
        <v>41883</v>
      </c>
      <c r="B16" s="51" t="s">
        <v>65</v>
      </c>
      <c r="C16" s="51" t="s">
        <v>75</v>
      </c>
      <c r="D16" s="46" t="str">
        <f>CONCATENATE(C16," ",(COUNTIF($C$2:C16,C16)))</f>
        <v>Morgan 2</v>
      </c>
      <c r="E16" s="47" t="s">
        <v>76</v>
      </c>
      <c r="F16" s="47" t="str">
        <f>CONCATENATE(E16," ",(COUNTIF($E$2:E16,E16)))</f>
        <v>Pen Set 3</v>
      </c>
      <c r="G16" s="48">
        <v>55</v>
      </c>
      <c r="H16" s="49">
        <v>12.49</v>
      </c>
      <c r="I16" s="50">
        <f t="shared" si="0"/>
        <v>686.95</v>
      </c>
      <c r="J16" s="50">
        <f t="shared" si="1"/>
        <v>6</v>
      </c>
      <c r="K16" s="37" t="str">
        <f t="shared" si="2"/>
        <v>Perfect Value</v>
      </c>
      <c r="L16" s="37"/>
      <c r="M16" s="37"/>
      <c r="N16" s="37"/>
    </row>
    <row r="17" spans="1:14" x14ac:dyDescent="0.3">
      <c r="A17" s="45">
        <v>41900</v>
      </c>
      <c r="B17" s="46" t="s">
        <v>65</v>
      </c>
      <c r="C17" s="46" t="s">
        <v>73</v>
      </c>
      <c r="D17" s="46" t="str">
        <f>CONCATENATE(C17," ",(COUNTIF($C$2:C17,C17)))</f>
        <v>Andrews 3</v>
      </c>
      <c r="E17" s="47" t="s">
        <v>70</v>
      </c>
      <c r="F17" s="47" t="str">
        <f>CONCATENATE(E17," ",(COUNTIF($E$2:E17,E17)))</f>
        <v>Pencil 5</v>
      </c>
      <c r="G17" s="48">
        <v>66</v>
      </c>
      <c r="H17" s="49">
        <v>1.99</v>
      </c>
      <c r="I17" s="50">
        <f t="shared" si="0"/>
        <v>131.34</v>
      </c>
      <c r="J17" s="50">
        <f t="shared" si="1"/>
        <v>5</v>
      </c>
      <c r="K17" s="37" t="str">
        <f t="shared" si="2"/>
        <v>Perfect Value</v>
      </c>
      <c r="L17" s="37"/>
      <c r="M17" s="37"/>
      <c r="N17" s="37"/>
    </row>
    <row r="18" spans="1:14" x14ac:dyDescent="0.3">
      <c r="A18" s="45">
        <v>41917</v>
      </c>
      <c r="B18" s="46" t="s">
        <v>65</v>
      </c>
      <c r="C18" s="46" t="s">
        <v>66</v>
      </c>
      <c r="D18" s="46" t="str">
        <f>CONCATENATE(C18," ",(COUNTIF($C$2:C18,C18)))</f>
        <v>Smith 2</v>
      </c>
      <c r="E18" s="47" t="s">
        <v>70</v>
      </c>
      <c r="F18" s="47" t="str">
        <f>CONCATENATE(E18," ",(COUNTIF($E$2:E18,E18)))</f>
        <v>Pencil 6</v>
      </c>
      <c r="G18" s="48">
        <v>67</v>
      </c>
      <c r="H18" s="49">
        <v>1.29</v>
      </c>
      <c r="I18" s="50">
        <f t="shared" si="0"/>
        <v>86.43</v>
      </c>
      <c r="J18" s="50">
        <f t="shared" si="1"/>
        <v>4</v>
      </c>
      <c r="K18" s="37" t="str">
        <f t="shared" si="2"/>
        <v>Perfect Value</v>
      </c>
      <c r="L18" s="37"/>
      <c r="M18" s="37"/>
      <c r="N18" s="37"/>
    </row>
    <row r="19" spans="1:14" x14ac:dyDescent="0.3">
      <c r="A19" s="45">
        <v>41934</v>
      </c>
      <c r="B19" s="46" t="s">
        <v>65</v>
      </c>
      <c r="C19" s="46" t="s">
        <v>73</v>
      </c>
      <c r="D19" s="46" t="str">
        <f>CONCATENATE(C19," ",(COUNTIF($C$2:C19,C19)))</f>
        <v>Andrews 4</v>
      </c>
      <c r="E19" s="47" t="s">
        <v>70</v>
      </c>
      <c r="F19" s="47" t="str">
        <f>CONCATENATE(E19," ",(COUNTIF($E$2:E19,E19)))</f>
        <v>Pencil 7</v>
      </c>
      <c r="G19" s="48">
        <v>75</v>
      </c>
      <c r="H19" s="49">
        <v>1.99</v>
      </c>
      <c r="I19" s="50">
        <f t="shared" si="0"/>
        <v>149.25</v>
      </c>
      <c r="J19" s="50">
        <f t="shared" si="1"/>
        <v>3</v>
      </c>
      <c r="K19" s="37" t="str">
        <f t="shared" si="2"/>
        <v>Perfect Value</v>
      </c>
      <c r="L19" s="37"/>
      <c r="M19" s="37"/>
      <c r="N19" s="37"/>
    </row>
    <row r="20" spans="1:14" x14ac:dyDescent="0.3">
      <c r="A20" s="45">
        <v>41951</v>
      </c>
      <c r="B20" s="46" t="s">
        <v>65</v>
      </c>
      <c r="C20" s="46" t="s">
        <v>69</v>
      </c>
      <c r="D20" s="46" t="str">
        <f>CONCATENATE(C20," ",(COUNTIF($C$2:C20,C20)))</f>
        <v>Gill 5</v>
      </c>
      <c r="E20" s="47" t="s">
        <v>72</v>
      </c>
      <c r="F20" s="47" t="str">
        <f>CONCATENATE(E20," ",(COUNTIF($E$2:E20,E20)))</f>
        <v>Binder 6</v>
      </c>
      <c r="G20" s="48">
        <v>80</v>
      </c>
      <c r="H20" s="49">
        <v>8.99</v>
      </c>
      <c r="I20" s="50">
        <f t="shared" si="0"/>
        <v>719.2</v>
      </c>
      <c r="J20" s="50">
        <f t="shared" si="1"/>
        <v>2</v>
      </c>
      <c r="K20" s="37" t="str">
        <f t="shared" si="2"/>
        <v>Perfect Value</v>
      </c>
      <c r="L20" s="37"/>
      <c r="M20" s="37"/>
      <c r="N20" s="37"/>
    </row>
    <row r="21" spans="1:14" x14ac:dyDescent="0.3">
      <c r="A21" s="45">
        <v>41968</v>
      </c>
      <c r="B21" s="46" t="s">
        <v>65</v>
      </c>
      <c r="C21" s="46" t="s">
        <v>66</v>
      </c>
      <c r="D21" s="46" t="str">
        <f>CONCATENATE(C21," ",(COUNTIF($C$2:C21,C21)))</f>
        <v>Smith 3</v>
      </c>
      <c r="E21" s="47" t="s">
        <v>72</v>
      </c>
      <c r="F21" s="47" t="str">
        <f>CONCATENATE(E21," ",(COUNTIF($E$2:E21,E21)))</f>
        <v>Binder 7</v>
      </c>
      <c r="G21" s="48">
        <v>87</v>
      </c>
      <c r="H21" s="49">
        <v>15</v>
      </c>
      <c r="I21" s="50">
        <f t="shared" si="0"/>
        <v>1305</v>
      </c>
      <c r="J21" s="50">
        <f t="shared" si="1"/>
        <v>1</v>
      </c>
      <c r="K21" s="37" t="str">
        <f t="shared" si="2"/>
        <v>Perfect Value</v>
      </c>
      <c r="L21" s="37"/>
      <c r="M21" s="37"/>
      <c r="N21" s="37"/>
    </row>
    <row r="22" spans="1:14" x14ac:dyDescent="0.3">
      <c r="A22" s="45">
        <v>41985</v>
      </c>
      <c r="B22" s="51" t="s">
        <v>65</v>
      </c>
      <c r="C22" s="46" t="s">
        <v>71</v>
      </c>
      <c r="D22" s="46" t="str">
        <f>CONCATENATE(C22," ",(COUNTIF($C$2:C22,C22)))</f>
        <v>Jardine 4</v>
      </c>
      <c r="E22" s="47" t="s">
        <v>70</v>
      </c>
      <c r="F22" s="47" t="str">
        <f>CONCATENATE(E22," ",(COUNTIF($E$2:E22,E22)))</f>
        <v>Pencil 8</v>
      </c>
      <c r="G22" s="48">
        <v>90</v>
      </c>
      <c r="H22" s="49">
        <v>4.99</v>
      </c>
      <c r="I22" s="50">
        <f t="shared" si="0"/>
        <v>449.1</v>
      </c>
      <c r="J22" s="50">
        <f t="shared" si="1"/>
        <v>0</v>
      </c>
      <c r="K22" s="37" t="str">
        <f t="shared" si="2"/>
        <v>Perfect Value</v>
      </c>
      <c r="L22" s="37"/>
      <c r="M22" s="37"/>
      <c r="N22" s="37"/>
    </row>
    <row r="23" spans="1:14" x14ac:dyDescent="0.3">
      <c r="A23" s="45">
        <v>42002</v>
      </c>
      <c r="B23" s="51" t="s">
        <v>65</v>
      </c>
      <c r="C23" s="51" t="s">
        <v>75</v>
      </c>
      <c r="D23" s="46" t="str">
        <f>CONCATENATE(C23," ",(COUNTIF($C$2:C23,C23)))</f>
        <v>Morgan 3</v>
      </c>
      <c r="E23" s="47" t="s">
        <v>70</v>
      </c>
      <c r="F23" s="47" t="str">
        <f>CONCATENATE(E23," ",(COUNTIF($E$2:E23,E23)))</f>
        <v>Pencil 9</v>
      </c>
      <c r="G23" s="48">
        <v>90</v>
      </c>
      <c r="H23" s="49">
        <v>4.99</v>
      </c>
      <c r="I23" s="50">
        <f t="shared" si="0"/>
        <v>449.1</v>
      </c>
      <c r="J23" s="50">
        <f t="shared" si="1"/>
        <v>0</v>
      </c>
      <c r="K23" s="37" t="str">
        <f t="shared" si="2"/>
        <v>Perfect Value</v>
      </c>
      <c r="L23" s="37"/>
      <c r="M23" s="37"/>
      <c r="N23" s="37"/>
    </row>
    <row r="24" spans="1:14" x14ac:dyDescent="0.3">
      <c r="A24" s="45">
        <v>42019</v>
      </c>
      <c r="B24" s="51" t="s">
        <v>65</v>
      </c>
      <c r="C24" s="46" t="s">
        <v>71</v>
      </c>
      <c r="D24" s="46" t="str">
        <f>CONCATENATE(C24," ",(COUNTIF($C$2:C24,C24)))</f>
        <v>Jardine 5</v>
      </c>
      <c r="E24" s="47" t="s">
        <v>72</v>
      </c>
      <c r="F24" s="47" t="str">
        <f>CONCATENATE(E24," ",(COUNTIF($E$2:E24,E24)))</f>
        <v>Binder 8</v>
      </c>
      <c r="G24" s="48">
        <v>94</v>
      </c>
      <c r="H24" s="49">
        <v>19.989999999999998</v>
      </c>
      <c r="I24" s="50">
        <f t="shared" si="0"/>
        <v>1879.06</v>
      </c>
      <c r="J24" s="50">
        <f t="shared" si="1"/>
        <v>0</v>
      </c>
      <c r="K24" s="37" t="str">
        <f t="shared" si="2"/>
        <v>Perfect Value</v>
      </c>
      <c r="L24" s="37"/>
      <c r="M24" s="37"/>
      <c r="N24" s="37"/>
    </row>
    <row r="25" spans="1:14" x14ac:dyDescent="0.3">
      <c r="A25" s="45">
        <v>42036</v>
      </c>
      <c r="B25" s="51" t="s">
        <v>65</v>
      </c>
      <c r="C25" s="46" t="s">
        <v>68</v>
      </c>
      <c r="D25" s="46" t="str">
        <f>CONCATENATE(C25," ",(COUNTIF($C$2:C25,C25)))</f>
        <v>Kivell 4</v>
      </c>
      <c r="E25" s="47" t="s">
        <v>76</v>
      </c>
      <c r="F25" s="47" t="str">
        <f>CONCATENATE(E25," ",(COUNTIF($E$2:E25,E25)))</f>
        <v>Pen Set 4</v>
      </c>
      <c r="G25" s="48">
        <v>96</v>
      </c>
      <c r="H25" s="49">
        <v>4.99</v>
      </c>
      <c r="I25" s="50">
        <f t="shared" si="0"/>
        <v>479.04</v>
      </c>
      <c r="J25" s="50">
        <f t="shared" si="1"/>
        <v>0</v>
      </c>
      <c r="K25" s="37" t="str">
        <f t="shared" si="2"/>
        <v>Perfect Value</v>
      </c>
      <c r="L25" s="37"/>
      <c r="M25" s="37"/>
      <c r="N25" s="37"/>
    </row>
    <row r="26" spans="1:14" x14ac:dyDescent="0.3">
      <c r="A26" s="45">
        <v>42053</v>
      </c>
      <c r="B26" s="51" t="s">
        <v>77</v>
      </c>
      <c r="C26" s="51" t="s">
        <v>78</v>
      </c>
      <c r="D26" s="46" t="str">
        <f>CONCATENATE(C26," ",(COUNTIF($C$2:C26,C26)))</f>
        <v>Jones 1</v>
      </c>
      <c r="E26" s="47" t="s">
        <v>72</v>
      </c>
      <c r="F26" s="47" t="str">
        <f>CONCATENATE(E26," ",(COUNTIF($E$2:E26,E26)))</f>
        <v>Binder 9</v>
      </c>
      <c r="G26" s="48">
        <v>4</v>
      </c>
      <c r="H26" s="49">
        <v>4.99</v>
      </c>
      <c r="I26" s="50">
        <f t="shared" si="0"/>
        <v>19.96</v>
      </c>
      <c r="J26" s="50">
        <f t="shared" si="1"/>
        <v>0</v>
      </c>
      <c r="K26" s="37" t="str">
        <f t="shared" si="2"/>
        <v>Not a Perfect Value</v>
      </c>
      <c r="L26" s="37"/>
      <c r="M26" s="37"/>
      <c r="N26" s="37"/>
    </row>
    <row r="27" spans="1:14" x14ac:dyDescent="0.3">
      <c r="A27" s="45">
        <v>42070</v>
      </c>
      <c r="B27" s="46" t="s">
        <v>77</v>
      </c>
      <c r="C27" s="46" t="s">
        <v>79</v>
      </c>
      <c r="D27" s="46" t="str">
        <f>CONCATENATE(C27," ",(COUNTIF($C$2:C27,C27)))</f>
        <v>Parent 1</v>
      </c>
      <c r="E27" s="47" t="s">
        <v>74</v>
      </c>
      <c r="F27" s="47" t="str">
        <f>CONCATENATE(E27," ",(COUNTIF($E$2:E27,E27)))</f>
        <v>Pen 2</v>
      </c>
      <c r="G27" s="48">
        <v>15</v>
      </c>
      <c r="H27" s="49">
        <v>19.989999999999998</v>
      </c>
      <c r="I27" s="50">
        <f t="shared" si="0"/>
        <v>299.84999999999997</v>
      </c>
      <c r="J27" s="50">
        <f t="shared" si="1"/>
        <v>0</v>
      </c>
      <c r="K27" s="37" t="str">
        <f t="shared" si="2"/>
        <v>Perfect Value</v>
      </c>
      <c r="L27" s="37"/>
      <c r="M27" s="37"/>
      <c r="N27" s="37"/>
    </row>
    <row r="28" spans="1:14" x14ac:dyDescent="0.3">
      <c r="A28" s="45">
        <v>42087</v>
      </c>
      <c r="B28" s="51" t="s">
        <v>77</v>
      </c>
      <c r="C28" s="51" t="s">
        <v>78</v>
      </c>
      <c r="D28" s="46" t="str">
        <f>CONCATENATE(C28," ",(COUNTIF($C$2:C28,C28)))</f>
        <v>Jones 2</v>
      </c>
      <c r="E28" s="47" t="s">
        <v>76</v>
      </c>
      <c r="F28" s="47" t="str">
        <f>CONCATENATE(E28," ",(COUNTIF($E$2:E28,E28)))</f>
        <v>Pen Set 5</v>
      </c>
      <c r="G28" s="48">
        <v>16</v>
      </c>
      <c r="H28" s="49">
        <v>15.99</v>
      </c>
      <c r="I28" s="50">
        <f t="shared" si="0"/>
        <v>255.84</v>
      </c>
      <c r="J28" s="50">
        <f t="shared" si="1"/>
        <v>0</v>
      </c>
      <c r="K28" s="37" t="str">
        <f t="shared" si="2"/>
        <v>Perfect Value</v>
      </c>
      <c r="L28" s="37"/>
      <c r="M28" s="37"/>
      <c r="N28" s="37"/>
    </row>
    <row r="29" spans="1:14" x14ac:dyDescent="0.3">
      <c r="A29" s="45">
        <v>42104</v>
      </c>
      <c r="B29" s="51" t="s">
        <v>77</v>
      </c>
      <c r="C29" s="51" t="s">
        <v>80</v>
      </c>
      <c r="D29" s="46" t="str">
        <f>CONCATENATE(C29," ",(COUNTIF($C$2:C29,C29)))</f>
        <v>Howard 1</v>
      </c>
      <c r="E29" s="47" t="s">
        <v>72</v>
      </c>
      <c r="F29" s="47" t="str">
        <f>CONCATENATE(E29," ",(COUNTIF($E$2:E29,E29)))</f>
        <v>Binder 10</v>
      </c>
      <c r="G29" s="48">
        <v>29</v>
      </c>
      <c r="H29" s="49">
        <v>1.99</v>
      </c>
      <c r="I29" s="50">
        <f t="shared" si="0"/>
        <v>57.71</v>
      </c>
      <c r="J29" s="50">
        <f t="shared" si="1"/>
        <v>0</v>
      </c>
      <c r="K29" s="37" t="str">
        <f t="shared" si="2"/>
        <v>Perfect Value</v>
      </c>
      <c r="L29" s="37"/>
      <c r="M29" s="37"/>
      <c r="N29" s="37"/>
    </row>
    <row r="30" spans="1:14" x14ac:dyDescent="0.3">
      <c r="A30" s="45">
        <v>42121</v>
      </c>
      <c r="B30" s="51" t="s">
        <v>77</v>
      </c>
      <c r="C30" s="46" t="s">
        <v>78</v>
      </c>
      <c r="D30" s="46" t="str">
        <f>CONCATENATE(C30," ",(COUNTIF($C$2:C30,C30)))</f>
        <v>Jones 3</v>
      </c>
      <c r="E30" s="47" t="s">
        <v>70</v>
      </c>
      <c r="F30" s="47" t="str">
        <f>CONCATENATE(E30," ",(COUNTIF($E$2:E30,E30)))</f>
        <v>Pencil 10</v>
      </c>
      <c r="G30" s="48">
        <v>35</v>
      </c>
      <c r="H30" s="49">
        <v>4.99</v>
      </c>
      <c r="I30" s="50">
        <f t="shared" si="0"/>
        <v>174.65</v>
      </c>
      <c r="J30" s="50">
        <f t="shared" si="1"/>
        <v>0</v>
      </c>
      <c r="K30" s="37" t="str">
        <f t="shared" si="2"/>
        <v>Perfect Value</v>
      </c>
      <c r="L30" s="37"/>
      <c r="M30" s="37"/>
      <c r="N30" s="37"/>
    </row>
    <row r="31" spans="1:14" x14ac:dyDescent="0.3">
      <c r="A31" s="45">
        <v>42138</v>
      </c>
      <c r="B31" s="51" t="s">
        <v>77</v>
      </c>
      <c r="C31" s="51" t="s">
        <v>78</v>
      </c>
      <c r="D31" s="46" t="str">
        <f>CONCATENATE(C31," ",(COUNTIF($C$2:C31,C31)))</f>
        <v>Jones 4</v>
      </c>
      <c r="E31" s="47" t="s">
        <v>72</v>
      </c>
      <c r="F31" s="47" t="str">
        <f>CONCATENATE(E31," ",(COUNTIF($E$2:E31,E31)))</f>
        <v>Binder 11</v>
      </c>
      <c r="G31" s="48">
        <v>60</v>
      </c>
      <c r="H31" s="49">
        <v>4.99</v>
      </c>
      <c r="I31" s="50">
        <f t="shared" si="0"/>
        <v>299.40000000000003</v>
      </c>
      <c r="J31" s="50">
        <f t="shared" si="1"/>
        <v>0</v>
      </c>
      <c r="K31" s="37" t="str">
        <f t="shared" si="2"/>
        <v>Perfect Value</v>
      </c>
      <c r="L31" s="37"/>
      <c r="M31" s="37"/>
      <c r="N31" s="37"/>
    </row>
    <row r="32" spans="1:14" x14ac:dyDescent="0.3">
      <c r="A32" s="45">
        <v>42155</v>
      </c>
      <c r="B32" s="51" t="s">
        <v>77</v>
      </c>
      <c r="C32" s="51" t="s">
        <v>78</v>
      </c>
      <c r="D32" s="46" t="str">
        <f>CONCATENATE(C32," ",(COUNTIF($C$2:C32,C32)))</f>
        <v>Jones 5</v>
      </c>
      <c r="E32" s="47" t="s">
        <v>72</v>
      </c>
      <c r="F32" s="47" t="str">
        <f>CONCATENATE(E32," ",(COUNTIF($E$2:E32,E32)))</f>
        <v>Binder 12</v>
      </c>
      <c r="G32" s="48">
        <v>60</v>
      </c>
      <c r="H32" s="49">
        <v>8.99</v>
      </c>
      <c r="I32" s="50">
        <f t="shared" si="0"/>
        <v>539.4</v>
      </c>
      <c r="J32" s="50">
        <f t="shared" si="1"/>
        <v>0</v>
      </c>
      <c r="K32" s="37" t="str">
        <f t="shared" si="2"/>
        <v>Perfect Value</v>
      </c>
      <c r="L32" s="37"/>
      <c r="M32" s="37"/>
      <c r="N32" s="37"/>
    </row>
    <row r="33" spans="1:14" x14ac:dyDescent="0.3">
      <c r="A33" s="45">
        <v>42172</v>
      </c>
      <c r="B33" s="51" t="s">
        <v>77</v>
      </c>
      <c r="C33" s="46" t="s">
        <v>78</v>
      </c>
      <c r="D33" s="46" t="str">
        <f>CONCATENATE(C33," ",(COUNTIF($C$2:C33,C33)))</f>
        <v>Jones 6</v>
      </c>
      <c r="E33" s="47" t="s">
        <v>76</v>
      </c>
      <c r="F33" s="47" t="str">
        <f>CONCATENATE(E33," ",(COUNTIF($E$2:E33,E33)))</f>
        <v>Pen Set 6</v>
      </c>
      <c r="G33" s="48">
        <v>62</v>
      </c>
      <c r="H33" s="49">
        <v>4.99</v>
      </c>
      <c r="I33" s="50">
        <f t="shared" si="0"/>
        <v>309.38</v>
      </c>
      <c r="J33" s="50">
        <f t="shared" si="1"/>
        <v>0</v>
      </c>
      <c r="K33" s="37" t="str">
        <f t="shared" si="2"/>
        <v>Perfect Value</v>
      </c>
      <c r="L33" s="37"/>
      <c r="M33" s="37"/>
      <c r="N33" s="37"/>
    </row>
    <row r="34" spans="1:14" x14ac:dyDescent="0.3">
      <c r="A34" s="45">
        <v>42189</v>
      </c>
      <c r="B34" s="51" t="s">
        <v>77</v>
      </c>
      <c r="C34" s="51" t="s">
        <v>78</v>
      </c>
      <c r="D34" s="46" t="str">
        <f>CONCATENATE(C34," ",(COUNTIF($C$2:C34,C34)))</f>
        <v>Jones 7</v>
      </c>
      <c r="E34" s="47" t="s">
        <v>74</v>
      </c>
      <c r="F34" s="47" t="str">
        <f>CONCATENATE(E34," ",(COUNTIF($E$2:E34,E34)))</f>
        <v>Pen 3</v>
      </c>
      <c r="G34" s="48">
        <v>64</v>
      </c>
      <c r="H34" s="49">
        <v>8.99</v>
      </c>
      <c r="I34" s="50">
        <f t="shared" si="0"/>
        <v>575.36</v>
      </c>
      <c r="J34" s="50">
        <f t="shared" si="1"/>
        <v>0</v>
      </c>
      <c r="K34" s="37" t="str">
        <f t="shared" si="2"/>
        <v>Perfect Value</v>
      </c>
      <c r="L34" s="37"/>
      <c r="M34" s="37"/>
      <c r="N34" s="37"/>
    </row>
    <row r="35" spans="1:14" x14ac:dyDescent="0.3">
      <c r="A35" s="45">
        <v>42206</v>
      </c>
      <c r="B35" s="46" t="s">
        <v>77</v>
      </c>
      <c r="C35" s="46" t="s">
        <v>79</v>
      </c>
      <c r="D35" s="46" t="str">
        <f>CONCATENATE(C35," ",(COUNTIF($C$2:C35,C35)))</f>
        <v>Parent 2</v>
      </c>
      <c r="E35" s="47" t="s">
        <v>76</v>
      </c>
      <c r="F35" s="47" t="str">
        <f>CONCATENATE(E35," ",(COUNTIF($E$2:E35,E35)))</f>
        <v>Pen Set 7</v>
      </c>
      <c r="G35" s="48">
        <v>74</v>
      </c>
      <c r="H35" s="49">
        <v>15.99</v>
      </c>
      <c r="I35" s="50">
        <f t="shared" si="0"/>
        <v>1183.26</v>
      </c>
      <c r="J35" s="50">
        <f t="shared" si="1"/>
        <v>0</v>
      </c>
      <c r="K35" s="37" t="str">
        <f t="shared" si="2"/>
        <v>Perfect Value</v>
      </c>
      <c r="L35" s="37"/>
      <c r="M35" s="37"/>
      <c r="N35" s="37"/>
    </row>
    <row r="36" spans="1:14" x14ac:dyDescent="0.3">
      <c r="A36" s="45">
        <v>42223</v>
      </c>
      <c r="B36" s="46" t="s">
        <v>77</v>
      </c>
      <c r="C36" s="46" t="s">
        <v>79</v>
      </c>
      <c r="D36" s="46" t="str">
        <f>CONCATENATE(C36," ",(COUNTIF($C$2:C36,C36)))</f>
        <v>Parent 3</v>
      </c>
      <c r="E36" s="47" t="s">
        <v>72</v>
      </c>
      <c r="F36" s="47" t="str">
        <f>CONCATENATE(E36," ",(COUNTIF($E$2:E36,E36)))</f>
        <v>Binder 13</v>
      </c>
      <c r="G36" s="48">
        <v>81</v>
      </c>
      <c r="H36" s="49">
        <v>19.989999999999998</v>
      </c>
      <c r="I36" s="50">
        <f t="shared" si="0"/>
        <v>1619.1899999999998</v>
      </c>
      <c r="J36" s="50">
        <f t="shared" si="1"/>
        <v>0</v>
      </c>
      <c r="K36" s="37" t="str">
        <f t="shared" si="2"/>
        <v>Perfect Value</v>
      </c>
      <c r="L36" s="37"/>
      <c r="M36" s="37"/>
      <c r="N36" s="37"/>
    </row>
    <row r="37" spans="1:14" x14ac:dyDescent="0.3">
      <c r="A37" s="45">
        <v>42240</v>
      </c>
      <c r="B37" s="51" t="s">
        <v>77</v>
      </c>
      <c r="C37" s="46" t="s">
        <v>78</v>
      </c>
      <c r="D37" s="46" t="str">
        <f>CONCATENATE(C37," ",(COUNTIF($C$2:C37,C37)))</f>
        <v>Jones 8</v>
      </c>
      <c r="E37" s="47" t="s">
        <v>70</v>
      </c>
      <c r="F37" s="47" t="str">
        <f>CONCATENATE(E37," ",(COUNTIF($E$2:E37,E37)))</f>
        <v>Pencil 11</v>
      </c>
      <c r="G37" s="48">
        <v>95</v>
      </c>
      <c r="H37" s="49">
        <v>1.99</v>
      </c>
      <c r="I37" s="50">
        <f t="shared" si="0"/>
        <v>189.05</v>
      </c>
      <c r="J37" s="50">
        <f t="shared" si="1"/>
        <v>0</v>
      </c>
      <c r="K37" s="37" t="str">
        <f t="shared" si="2"/>
        <v>Perfect Value</v>
      </c>
      <c r="L37" s="37"/>
      <c r="M37" s="37"/>
      <c r="N37" s="37"/>
    </row>
    <row r="38" spans="1:14" x14ac:dyDescent="0.3">
      <c r="A38" s="45">
        <v>42257</v>
      </c>
      <c r="B38" s="51" t="s">
        <v>77</v>
      </c>
      <c r="C38" s="51" t="s">
        <v>80</v>
      </c>
      <c r="D38" s="46" t="str">
        <f>CONCATENATE(C38," ",(COUNTIF($C$2:C38,C38)))</f>
        <v>Howard 2</v>
      </c>
      <c r="E38" s="47" t="s">
        <v>74</v>
      </c>
      <c r="F38" s="47" t="str">
        <f>CONCATENATE(E38," ",(COUNTIF($E$2:E38,E38)))</f>
        <v>Pen 4</v>
      </c>
      <c r="G38" s="48">
        <v>96</v>
      </c>
      <c r="H38" s="49">
        <v>4.99</v>
      </c>
      <c r="I38" s="50">
        <f t="shared" si="0"/>
        <v>479.04</v>
      </c>
      <c r="J38" s="50">
        <f t="shared" si="1"/>
        <v>0</v>
      </c>
      <c r="K38" s="37" t="str">
        <f t="shared" si="2"/>
        <v>Perfect Value</v>
      </c>
      <c r="L38" s="37"/>
      <c r="M38" s="37"/>
      <c r="N38" s="37"/>
    </row>
    <row r="39" spans="1:14" x14ac:dyDescent="0.3">
      <c r="A39" s="45">
        <v>42274</v>
      </c>
      <c r="B39" s="51" t="s">
        <v>81</v>
      </c>
      <c r="C39" s="51" t="s">
        <v>82</v>
      </c>
      <c r="D39" s="46" t="str">
        <f>CONCATENATE(C39," ",(COUNTIF($C$2:C39,C39)))</f>
        <v>Sorvino 1</v>
      </c>
      <c r="E39" s="47" t="s">
        <v>67</v>
      </c>
      <c r="F39" s="47" t="str">
        <f>CONCATENATE(E39," ",(COUNTIF($E$2:E39,E39)))</f>
        <v>Desk 3</v>
      </c>
      <c r="G39" s="48">
        <v>3</v>
      </c>
      <c r="H39" s="49">
        <v>275</v>
      </c>
      <c r="I39" s="50">
        <f t="shared" si="0"/>
        <v>825</v>
      </c>
      <c r="J39" s="50">
        <f t="shared" si="1"/>
        <v>0</v>
      </c>
      <c r="K39" s="37" t="str">
        <f t="shared" si="2"/>
        <v>Perfect Value</v>
      </c>
      <c r="L39" s="37"/>
      <c r="M39" s="37"/>
      <c r="N39" s="37"/>
    </row>
    <row r="40" spans="1:14" x14ac:dyDescent="0.3">
      <c r="A40" s="45">
        <v>42291</v>
      </c>
      <c r="B40" s="51" t="s">
        <v>81</v>
      </c>
      <c r="C40" s="46" t="s">
        <v>82</v>
      </c>
      <c r="D40" s="46" t="str">
        <f>CONCATENATE(C40," ",(COUNTIF($C$2:C40,C40)))</f>
        <v>Sorvino 2</v>
      </c>
      <c r="E40" s="47" t="s">
        <v>72</v>
      </c>
      <c r="F40" s="47" t="str">
        <f>CONCATENATE(E40," ",(COUNTIF($E$2:E40,E40)))</f>
        <v>Binder 14</v>
      </c>
      <c r="G40" s="48">
        <v>7</v>
      </c>
      <c r="H40" s="49">
        <v>19.989999999999998</v>
      </c>
      <c r="I40" s="50">
        <f t="shared" si="0"/>
        <v>139.92999999999998</v>
      </c>
      <c r="J40" s="50">
        <f t="shared" si="1"/>
        <v>0</v>
      </c>
      <c r="K40" s="37" t="str">
        <f t="shared" si="2"/>
        <v>Perfect Value</v>
      </c>
      <c r="L40" s="37"/>
      <c r="M40" s="37"/>
      <c r="N40" s="37"/>
    </row>
    <row r="41" spans="1:14" x14ac:dyDescent="0.3">
      <c r="A41" s="45">
        <v>42308</v>
      </c>
      <c r="B41" s="51" t="s">
        <v>81</v>
      </c>
      <c r="C41" s="51" t="s">
        <v>83</v>
      </c>
      <c r="D41" s="46" t="str">
        <f>CONCATENATE(C41," ",(COUNTIF($C$2:C41,C41)))</f>
        <v>Thompson 1</v>
      </c>
      <c r="E41" s="47" t="s">
        <v>70</v>
      </c>
      <c r="F41" s="47" t="str">
        <f>CONCATENATE(E41," ",(COUNTIF($E$2:E41,E41)))</f>
        <v>Pencil 12</v>
      </c>
      <c r="G41" s="48">
        <v>32</v>
      </c>
      <c r="H41" s="49">
        <v>1.99</v>
      </c>
      <c r="I41" s="50">
        <f t="shared" si="0"/>
        <v>63.68</v>
      </c>
      <c r="J41" s="50">
        <f t="shared" si="1"/>
        <v>0</v>
      </c>
      <c r="K41" s="37" t="str">
        <f t="shared" si="2"/>
        <v>Perfect Value</v>
      </c>
      <c r="L41" s="37"/>
      <c r="M41" s="37"/>
      <c r="N41" s="37"/>
    </row>
    <row r="42" spans="1:14" x14ac:dyDescent="0.3">
      <c r="A42" s="45">
        <v>42325</v>
      </c>
      <c r="B42" s="51" t="s">
        <v>81</v>
      </c>
      <c r="C42" s="46" t="s">
        <v>82</v>
      </c>
      <c r="D42" s="46" t="str">
        <f>CONCATENATE(C42," ",(COUNTIF($C$2:C42,C42)))</f>
        <v>Sorvino 3</v>
      </c>
      <c r="E42" s="47" t="s">
        <v>70</v>
      </c>
      <c r="F42" s="47" t="str">
        <f>CONCATENATE(E42," ",(COUNTIF($E$2:E42,E42)))</f>
        <v>Pencil 13</v>
      </c>
      <c r="G42" s="48">
        <v>56</v>
      </c>
      <c r="H42" s="49">
        <v>2.99</v>
      </c>
      <c r="I42" s="50">
        <f t="shared" si="0"/>
        <v>167.44</v>
      </c>
      <c r="J42" s="50">
        <f t="shared" si="1"/>
        <v>0</v>
      </c>
      <c r="K42" s="37" t="str">
        <f t="shared" si="2"/>
        <v>Perfect Value</v>
      </c>
      <c r="L42" s="37"/>
      <c r="M42" s="37"/>
      <c r="N42" s="37"/>
    </row>
    <row r="43" spans="1:14" x14ac:dyDescent="0.3">
      <c r="A43" s="45">
        <v>42342</v>
      </c>
      <c r="B43" s="51" t="s">
        <v>81</v>
      </c>
      <c r="C43" s="46" t="s">
        <v>83</v>
      </c>
      <c r="D43" s="46" t="str">
        <f>CONCATENATE(C43," ",(COUNTIF($C$2:C43,C43)))</f>
        <v>Thompson 2</v>
      </c>
      <c r="E43" s="47" t="s">
        <v>72</v>
      </c>
      <c r="F43" s="47" t="str">
        <f>CONCATENATE(E43," ",(COUNTIF($E$2:E43,E43)))</f>
        <v>Binder 15</v>
      </c>
      <c r="G43" s="48">
        <v>57</v>
      </c>
      <c r="H43" s="49">
        <v>19.989999999999998</v>
      </c>
      <c r="I43" s="50">
        <f t="shared" si="0"/>
        <v>1139.4299999999998</v>
      </c>
      <c r="J43" s="50">
        <f t="shared" si="1"/>
        <v>0</v>
      </c>
      <c r="K43" s="37" t="str">
        <f t="shared" si="2"/>
        <v>Perfect Value</v>
      </c>
      <c r="L43" s="37"/>
      <c r="M43" s="37"/>
      <c r="N43" s="37"/>
    </row>
    <row r="44" spans="1:14" x14ac:dyDescent="0.3">
      <c r="A44" s="45">
        <v>42359</v>
      </c>
      <c r="B44" s="51" t="s">
        <v>81</v>
      </c>
      <c r="C44" s="51" t="s">
        <v>82</v>
      </c>
      <c r="D44" s="46" t="str">
        <f>CONCATENATE(C44," ",(COUNTIF($C$2:C44,C44)))</f>
        <v>Sorvino 4</v>
      </c>
      <c r="E44" s="47" t="s">
        <v>74</v>
      </c>
      <c r="F44" s="47" t="str">
        <f>CONCATENATE(E44," ",(COUNTIF($E$2:E44,E44)))</f>
        <v>Pen 5</v>
      </c>
      <c r="G44" s="48">
        <v>76</v>
      </c>
      <c r="H44" s="49">
        <v>1.99</v>
      </c>
      <c r="I44" s="50">
        <f t="shared" si="0"/>
        <v>151.24</v>
      </c>
      <c r="J44" s="50">
        <f t="shared" si="1"/>
        <v>0</v>
      </c>
      <c r="K44" s="37" t="str">
        <f t="shared" si="2"/>
        <v>Perfect Value</v>
      </c>
      <c r="L44" s="37"/>
      <c r="M44" s="37"/>
      <c r="N44" s="37"/>
    </row>
    <row r="45" spans="1:14" x14ac:dyDescent="0.3">
      <c r="J45" s="37"/>
      <c r="K45" s="37"/>
      <c r="L45" s="37"/>
      <c r="M45" s="37"/>
      <c r="N45" s="37"/>
    </row>
    <row r="46" spans="1:14" ht="28.8" x14ac:dyDescent="0.3">
      <c r="E46" s="52" t="s">
        <v>95</v>
      </c>
      <c r="J46" s="37"/>
      <c r="K46" s="37"/>
      <c r="L46" s="37"/>
      <c r="M46" s="37"/>
      <c r="N46" s="37"/>
    </row>
    <row r="48" spans="1:14" x14ac:dyDescent="0.3">
      <c r="A48" s="25" t="s">
        <v>99</v>
      </c>
      <c r="B48" s="38" cm="1">
        <f t="array" ref="B48:J48">INDEX(A2:I44,MATCH(A48,D2:D44,0),)</f>
        <v>42189</v>
      </c>
      <c r="C48" t="str">
        <v>East</v>
      </c>
      <c r="D48" t="str">
        <v>Jones</v>
      </c>
      <c r="E48" t="str">
        <v>Jones 7</v>
      </c>
      <c r="F48" t="str">
        <v>Pen</v>
      </c>
      <c r="G48" t="str">
        <v>Pen 3</v>
      </c>
      <c r="H48" s="36">
        <v>64</v>
      </c>
      <c r="I48" s="36">
        <v>8.99</v>
      </c>
      <c r="J48" s="36">
        <v>575.36</v>
      </c>
    </row>
  </sheetData>
  <sortState xmlns:xlrd2="http://schemas.microsoft.com/office/spreadsheetml/2017/richdata2" ref="A2:A48">
    <sortCondition ref="A2:A48"/>
  </sortState>
  <dataValidations count="3">
    <dataValidation type="list" allowBlank="1" showInputMessage="1" showErrorMessage="1" sqref="O2 A48" xr:uid="{A9E6F0F6-8798-48ED-AF69-4C658B431F33}">
      <formula1>$D$2:$D$44</formula1>
    </dataValidation>
    <dataValidation type="list" allowBlank="1" showInputMessage="1" showErrorMessage="1" sqref="T2" xr:uid="{66BFDF20-B8EE-4688-87D0-682E849C8C3C}">
      <formula1>$B$2:$B$44</formula1>
    </dataValidation>
    <dataValidation type="list" allowBlank="1" showInputMessage="1" showErrorMessage="1" sqref="L2" xr:uid="{EC51B453-514B-4F39-9F63-029DBBA8299C}">
      <formula1>$F$2:$F$44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32470-D51A-4D9B-8A43-0EB777B588EB}">
  <dimension ref="A1:H398"/>
  <sheetViews>
    <sheetView workbookViewId="0">
      <selection activeCell="C1" sqref="C1:C1048576"/>
    </sheetView>
  </sheetViews>
  <sheetFormatPr defaultRowHeight="14.4" x14ac:dyDescent="0.3"/>
  <cols>
    <col min="1" max="1" width="13" style="73" bestFit="1" customWidth="1"/>
    <col min="2" max="2" width="29.109375" bestFit="1" customWidth="1"/>
    <col min="3" max="3" width="10.44140625" style="74" bestFit="1" customWidth="1"/>
    <col min="4" max="4" width="15.88671875" bestFit="1" customWidth="1"/>
    <col min="5" max="5" width="18.88671875" bestFit="1" customWidth="1"/>
    <col min="6" max="6" width="10.5546875" bestFit="1" customWidth="1"/>
    <col min="7" max="7" width="23.77734375" bestFit="1" customWidth="1"/>
    <col min="8" max="8" width="15" bestFit="1" customWidth="1"/>
  </cols>
  <sheetData>
    <row r="1" spans="1:8" x14ac:dyDescent="0.3">
      <c r="A1" s="73" t="s">
        <v>102</v>
      </c>
      <c r="B1" t="s">
        <v>103</v>
      </c>
      <c r="C1" s="74" t="s">
        <v>104</v>
      </c>
      <c r="D1" t="s">
        <v>105</v>
      </c>
      <c r="E1" t="s">
        <v>106</v>
      </c>
      <c r="F1" t="s">
        <v>107</v>
      </c>
      <c r="G1" t="s">
        <v>108</v>
      </c>
      <c r="H1" t="s">
        <v>109</v>
      </c>
    </row>
    <row r="2" spans="1:8" x14ac:dyDescent="0.3">
      <c r="A2" s="73">
        <v>606</v>
      </c>
      <c r="B2" t="s">
        <v>110</v>
      </c>
      <c r="C2" s="74" t="s">
        <v>111</v>
      </c>
      <c r="D2" t="s">
        <v>112</v>
      </c>
      <c r="E2" t="s">
        <v>113</v>
      </c>
      <c r="F2">
        <v>1431.5</v>
      </c>
      <c r="G2" t="s">
        <v>114</v>
      </c>
      <c r="H2">
        <v>868.63419999999996</v>
      </c>
    </row>
    <row r="3" spans="1:8" x14ac:dyDescent="0.3">
      <c r="A3" s="73">
        <v>605</v>
      </c>
      <c r="B3" t="s">
        <v>115</v>
      </c>
      <c r="C3" s="74" t="s">
        <v>111</v>
      </c>
      <c r="D3" t="s">
        <v>112</v>
      </c>
      <c r="E3" t="s">
        <v>113</v>
      </c>
      <c r="F3">
        <v>1431.5</v>
      </c>
      <c r="G3" t="s">
        <v>114</v>
      </c>
      <c r="H3">
        <v>868.63419999999996</v>
      </c>
    </row>
    <row r="4" spans="1:8" x14ac:dyDescent="0.3">
      <c r="A4" s="73">
        <v>604</v>
      </c>
      <c r="B4" t="s">
        <v>116</v>
      </c>
      <c r="C4" s="74" t="s">
        <v>111</v>
      </c>
      <c r="D4" t="s">
        <v>112</v>
      </c>
      <c r="E4" t="s">
        <v>113</v>
      </c>
      <c r="F4">
        <v>33.644199999999998</v>
      </c>
      <c r="G4" t="s">
        <v>117</v>
      </c>
      <c r="H4">
        <v>12.027799999999999</v>
      </c>
    </row>
    <row r="5" spans="1:8" x14ac:dyDescent="0.3">
      <c r="A5" s="73">
        <v>603</v>
      </c>
      <c r="B5" t="s">
        <v>118</v>
      </c>
      <c r="C5" s="74" t="s">
        <v>119</v>
      </c>
      <c r="D5" t="s">
        <v>120</v>
      </c>
      <c r="E5" t="s">
        <v>121</v>
      </c>
      <c r="F5">
        <v>33.644199999999998</v>
      </c>
      <c r="G5" t="s">
        <v>117</v>
      </c>
      <c r="H5">
        <v>13.8782</v>
      </c>
    </row>
    <row r="6" spans="1:8" x14ac:dyDescent="0.3">
      <c r="A6" s="73">
        <v>602</v>
      </c>
      <c r="B6" t="s">
        <v>122</v>
      </c>
      <c r="C6" s="74" t="s">
        <v>119</v>
      </c>
      <c r="D6" t="s">
        <v>120</v>
      </c>
      <c r="E6" t="s">
        <v>121</v>
      </c>
      <c r="F6">
        <v>34.99</v>
      </c>
      <c r="G6" t="s">
        <v>117</v>
      </c>
      <c r="H6">
        <v>13.0863</v>
      </c>
    </row>
    <row r="7" spans="1:8" x14ac:dyDescent="0.3">
      <c r="A7" s="73">
        <v>601</v>
      </c>
      <c r="B7" t="s">
        <v>123</v>
      </c>
      <c r="C7" s="74" t="s">
        <v>119</v>
      </c>
      <c r="D7" t="s">
        <v>120</v>
      </c>
      <c r="E7" t="s">
        <v>121</v>
      </c>
      <c r="F7">
        <v>33.644199999999998</v>
      </c>
      <c r="G7" t="s">
        <v>117</v>
      </c>
      <c r="H7">
        <v>12.027799999999999</v>
      </c>
    </row>
    <row r="8" spans="1:8" x14ac:dyDescent="0.3">
      <c r="A8" s="73">
        <v>600</v>
      </c>
      <c r="B8" t="s">
        <v>124</v>
      </c>
      <c r="C8" s="74" t="s">
        <v>111</v>
      </c>
      <c r="D8" t="s">
        <v>112</v>
      </c>
      <c r="E8" t="s">
        <v>125</v>
      </c>
      <c r="F8">
        <v>33.644199999999998</v>
      </c>
      <c r="G8" t="s">
        <v>117</v>
      </c>
      <c r="H8">
        <v>13.8782</v>
      </c>
    </row>
    <row r="9" spans="1:8" x14ac:dyDescent="0.3">
      <c r="A9" s="73">
        <v>599</v>
      </c>
      <c r="B9" t="s">
        <v>126</v>
      </c>
      <c r="C9" s="74" t="s">
        <v>111</v>
      </c>
      <c r="D9" t="s">
        <v>112</v>
      </c>
      <c r="E9" t="s">
        <v>125</v>
      </c>
      <c r="F9">
        <v>34.99</v>
      </c>
      <c r="G9" t="s">
        <v>117</v>
      </c>
      <c r="H9">
        <v>13.0863</v>
      </c>
    </row>
    <row r="10" spans="1:8" x14ac:dyDescent="0.3">
      <c r="A10" s="73">
        <v>598</v>
      </c>
      <c r="B10" t="s">
        <v>127</v>
      </c>
      <c r="C10" s="74" t="s">
        <v>111</v>
      </c>
      <c r="D10" t="s">
        <v>112</v>
      </c>
      <c r="E10" t="s">
        <v>125</v>
      </c>
      <c r="F10">
        <v>9.5</v>
      </c>
      <c r="G10" t="s">
        <v>128</v>
      </c>
      <c r="H10">
        <v>3.3963000000000001</v>
      </c>
    </row>
    <row r="11" spans="1:8" x14ac:dyDescent="0.3">
      <c r="A11" s="73">
        <v>597</v>
      </c>
      <c r="B11" t="s">
        <v>129</v>
      </c>
      <c r="C11" s="74" t="s">
        <v>111</v>
      </c>
      <c r="D11" t="s">
        <v>112</v>
      </c>
      <c r="E11" t="s">
        <v>125</v>
      </c>
      <c r="F11">
        <v>9.5</v>
      </c>
      <c r="G11" t="s">
        <v>128</v>
      </c>
      <c r="H11">
        <v>3.3963000000000001</v>
      </c>
    </row>
    <row r="12" spans="1:8" x14ac:dyDescent="0.3">
      <c r="A12" s="73">
        <v>596</v>
      </c>
      <c r="B12" t="s">
        <v>130</v>
      </c>
      <c r="C12" s="74" t="s">
        <v>111</v>
      </c>
      <c r="D12" t="s">
        <v>112</v>
      </c>
      <c r="E12" t="s">
        <v>125</v>
      </c>
      <c r="F12">
        <v>33.644199999999998</v>
      </c>
      <c r="G12" t="s">
        <v>117</v>
      </c>
      <c r="H12">
        <v>12.027799999999999</v>
      </c>
    </row>
    <row r="13" spans="1:8" x14ac:dyDescent="0.3">
      <c r="A13" s="73">
        <v>595</v>
      </c>
      <c r="B13" t="s">
        <v>131</v>
      </c>
      <c r="C13" s="74" t="s">
        <v>132</v>
      </c>
      <c r="D13" t="s">
        <v>112</v>
      </c>
      <c r="E13" t="s">
        <v>125</v>
      </c>
      <c r="F13">
        <v>33.644199999999998</v>
      </c>
      <c r="G13" t="s">
        <v>117</v>
      </c>
      <c r="H13">
        <v>13.8782</v>
      </c>
    </row>
    <row r="14" spans="1:8" x14ac:dyDescent="0.3">
      <c r="A14" s="73">
        <v>594</v>
      </c>
      <c r="B14" t="s">
        <v>133</v>
      </c>
      <c r="C14" s="74" t="s">
        <v>132</v>
      </c>
      <c r="D14" t="s">
        <v>112</v>
      </c>
      <c r="E14" t="s">
        <v>125</v>
      </c>
      <c r="F14">
        <v>34.99</v>
      </c>
      <c r="G14" t="s">
        <v>117</v>
      </c>
      <c r="H14">
        <v>13.0863</v>
      </c>
    </row>
    <row r="15" spans="1:8" x14ac:dyDescent="0.3">
      <c r="A15" s="73">
        <v>593</v>
      </c>
      <c r="B15" t="s">
        <v>134</v>
      </c>
      <c r="C15" s="74" t="s">
        <v>132</v>
      </c>
      <c r="D15" t="s">
        <v>112</v>
      </c>
      <c r="E15" t="s">
        <v>125</v>
      </c>
      <c r="F15">
        <v>8.6441999999999997</v>
      </c>
      <c r="G15" t="s">
        <v>135</v>
      </c>
      <c r="H15">
        <v>5.7051999999999996</v>
      </c>
    </row>
    <row r="16" spans="1:8" x14ac:dyDescent="0.3">
      <c r="A16" s="73">
        <v>592</v>
      </c>
      <c r="B16" t="s">
        <v>136</v>
      </c>
      <c r="C16" s="74" t="s">
        <v>132</v>
      </c>
      <c r="D16" t="s">
        <v>112</v>
      </c>
      <c r="E16" t="s">
        <v>125</v>
      </c>
      <c r="F16">
        <v>8.6441999999999997</v>
      </c>
      <c r="G16" t="s">
        <v>135</v>
      </c>
      <c r="H16">
        <v>5.2297000000000002</v>
      </c>
    </row>
    <row r="17" spans="1:8" x14ac:dyDescent="0.3">
      <c r="A17" s="73">
        <v>591</v>
      </c>
      <c r="B17" t="s">
        <v>137</v>
      </c>
      <c r="C17" s="74" t="s">
        <v>132</v>
      </c>
      <c r="D17" t="s">
        <v>112</v>
      </c>
      <c r="E17" t="s">
        <v>125</v>
      </c>
      <c r="F17">
        <v>8.99</v>
      </c>
      <c r="G17" t="s">
        <v>135</v>
      </c>
      <c r="H17">
        <v>6.9222999999999999</v>
      </c>
    </row>
    <row r="18" spans="1:8" x14ac:dyDescent="0.3">
      <c r="A18" s="73">
        <v>590</v>
      </c>
      <c r="B18" t="s">
        <v>138</v>
      </c>
      <c r="C18" s="74" t="s">
        <v>132</v>
      </c>
      <c r="D18" t="s">
        <v>112</v>
      </c>
      <c r="E18" t="s">
        <v>125</v>
      </c>
      <c r="F18">
        <v>48.067300000000003</v>
      </c>
      <c r="G18" t="s">
        <v>139</v>
      </c>
      <c r="H18">
        <v>31.724399999999999</v>
      </c>
    </row>
    <row r="19" spans="1:8" x14ac:dyDescent="0.3">
      <c r="A19" s="73">
        <v>589</v>
      </c>
      <c r="B19" t="s">
        <v>140</v>
      </c>
      <c r="C19" s="74" t="s">
        <v>132</v>
      </c>
      <c r="D19" t="s">
        <v>112</v>
      </c>
      <c r="E19" t="s">
        <v>125</v>
      </c>
      <c r="F19">
        <v>48.067300000000003</v>
      </c>
      <c r="G19" t="s">
        <v>139</v>
      </c>
      <c r="H19">
        <v>29.0807</v>
      </c>
    </row>
    <row r="20" spans="1:8" x14ac:dyDescent="0.3">
      <c r="A20" s="73">
        <v>588</v>
      </c>
      <c r="B20" t="s">
        <v>141</v>
      </c>
      <c r="C20" s="74" t="s">
        <v>132</v>
      </c>
      <c r="D20" t="s">
        <v>112</v>
      </c>
      <c r="E20" t="s">
        <v>125</v>
      </c>
      <c r="F20">
        <v>49.99</v>
      </c>
      <c r="G20" t="s">
        <v>139</v>
      </c>
      <c r="H20">
        <v>38.4923</v>
      </c>
    </row>
    <row r="21" spans="1:8" x14ac:dyDescent="0.3">
      <c r="A21" s="73">
        <v>587</v>
      </c>
      <c r="B21" t="s">
        <v>142</v>
      </c>
      <c r="C21" s="74" t="s">
        <v>132</v>
      </c>
      <c r="D21" t="s">
        <v>112</v>
      </c>
      <c r="E21" t="s">
        <v>125</v>
      </c>
      <c r="F21">
        <v>48.067300000000003</v>
      </c>
      <c r="G21" t="s">
        <v>139</v>
      </c>
      <c r="H21">
        <v>31.724399999999999</v>
      </c>
    </row>
    <row r="22" spans="1:8" x14ac:dyDescent="0.3">
      <c r="A22" s="73">
        <v>586</v>
      </c>
      <c r="B22" t="s">
        <v>143</v>
      </c>
      <c r="C22" s="74" t="s">
        <v>144</v>
      </c>
      <c r="D22" t="s">
        <v>112</v>
      </c>
      <c r="E22" t="s">
        <v>145</v>
      </c>
      <c r="F22">
        <v>48.067300000000003</v>
      </c>
      <c r="G22" t="s">
        <v>139</v>
      </c>
      <c r="H22">
        <v>29.0807</v>
      </c>
    </row>
    <row r="23" spans="1:8" x14ac:dyDescent="0.3">
      <c r="A23" s="73">
        <v>585</v>
      </c>
      <c r="B23" t="s">
        <v>146</v>
      </c>
      <c r="C23" s="74" t="s">
        <v>144</v>
      </c>
      <c r="D23" t="s">
        <v>112</v>
      </c>
      <c r="E23" t="s">
        <v>145</v>
      </c>
      <c r="F23">
        <v>49.99</v>
      </c>
      <c r="G23" t="s">
        <v>139</v>
      </c>
      <c r="H23">
        <v>38.4923</v>
      </c>
    </row>
    <row r="24" spans="1:8" x14ac:dyDescent="0.3">
      <c r="A24" s="73">
        <v>584</v>
      </c>
      <c r="B24" t="s">
        <v>147</v>
      </c>
      <c r="C24" s="74" t="s">
        <v>111</v>
      </c>
      <c r="D24" t="s">
        <v>112</v>
      </c>
      <c r="E24" t="s">
        <v>113</v>
      </c>
      <c r="F24">
        <v>48.067300000000003</v>
      </c>
      <c r="G24" t="s">
        <v>139</v>
      </c>
      <c r="H24">
        <v>31.724399999999999</v>
      </c>
    </row>
    <row r="25" spans="1:8" x14ac:dyDescent="0.3">
      <c r="A25" s="73">
        <v>583</v>
      </c>
      <c r="B25" t="s">
        <v>148</v>
      </c>
      <c r="C25" s="74" t="s">
        <v>149</v>
      </c>
      <c r="D25" t="s">
        <v>112</v>
      </c>
      <c r="E25" t="s">
        <v>113</v>
      </c>
      <c r="F25">
        <v>48.067300000000003</v>
      </c>
      <c r="G25" t="s">
        <v>139</v>
      </c>
      <c r="H25">
        <v>29.0807</v>
      </c>
    </row>
    <row r="26" spans="1:8" x14ac:dyDescent="0.3">
      <c r="A26" s="73">
        <v>582</v>
      </c>
      <c r="B26" t="s">
        <v>150</v>
      </c>
      <c r="C26" s="74" t="s">
        <v>149</v>
      </c>
      <c r="D26" t="s">
        <v>112</v>
      </c>
      <c r="E26" t="s">
        <v>113</v>
      </c>
      <c r="F26">
        <v>49.99</v>
      </c>
      <c r="G26" t="s">
        <v>139</v>
      </c>
      <c r="H26">
        <v>38.4923</v>
      </c>
    </row>
    <row r="27" spans="1:8" x14ac:dyDescent="0.3">
      <c r="A27" s="73">
        <v>581</v>
      </c>
      <c r="B27" t="s">
        <v>151</v>
      </c>
      <c r="C27" s="74" t="s">
        <v>149</v>
      </c>
      <c r="D27" t="s">
        <v>112</v>
      </c>
      <c r="E27" t="s">
        <v>113</v>
      </c>
      <c r="F27">
        <v>48.067300000000003</v>
      </c>
      <c r="G27" t="s">
        <v>139</v>
      </c>
      <c r="H27">
        <v>31.724399999999999</v>
      </c>
    </row>
    <row r="28" spans="1:8" x14ac:dyDescent="0.3">
      <c r="A28" s="73">
        <v>580</v>
      </c>
      <c r="B28" t="s">
        <v>152</v>
      </c>
      <c r="C28" s="74" t="s">
        <v>149</v>
      </c>
      <c r="D28" t="s">
        <v>112</v>
      </c>
      <c r="E28" t="s">
        <v>113</v>
      </c>
      <c r="F28">
        <v>48.067300000000003</v>
      </c>
      <c r="G28" t="s">
        <v>139</v>
      </c>
      <c r="H28">
        <v>29.0807</v>
      </c>
    </row>
    <row r="29" spans="1:8" x14ac:dyDescent="0.3">
      <c r="A29" s="73">
        <v>579</v>
      </c>
      <c r="B29" t="s">
        <v>153</v>
      </c>
      <c r="C29" s="74" t="s">
        <v>144</v>
      </c>
      <c r="D29" t="s">
        <v>112</v>
      </c>
      <c r="E29" t="s">
        <v>145</v>
      </c>
      <c r="F29">
        <v>49.99</v>
      </c>
      <c r="G29" t="s">
        <v>139</v>
      </c>
      <c r="H29">
        <v>38.4923</v>
      </c>
    </row>
    <row r="30" spans="1:8" x14ac:dyDescent="0.3">
      <c r="A30" s="73">
        <v>578</v>
      </c>
      <c r="B30" t="s">
        <v>154</v>
      </c>
      <c r="C30" s="74" t="s">
        <v>144</v>
      </c>
      <c r="D30" t="s">
        <v>112</v>
      </c>
      <c r="E30" t="s">
        <v>145</v>
      </c>
      <c r="F30">
        <v>1263.4598000000001</v>
      </c>
      <c r="G30" t="s">
        <v>114</v>
      </c>
      <c r="H30">
        <v>747.96820000000002</v>
      </c>
    </row>
    <row r="31" spans="1:8" x14ac:dyDescent="0.3">
      <c r="A31" s="73">
        <v>577</v>
      </c>
      <c r="B31" t="s">
        <v>155</v>
      </c>
      <c r="C31" s="74" t="s">
        <v>144</v>
      </c>
      <c r="D31" t="s">
        <v>112</v>
      </c>
      <c r="E31" t="s">
        <v>145</v>
      </c>
      <c r="F31">
        <v>1301.3635999999999</v>
      </c>
      <c r="G31" t="s">
        <v>114</v>
      </c>
      <c r="H31">
        <v>722.2568</v>
      </c>
    </row>
    <row r="32" spans="1:8" x14ac:dyDescent="0.3">
      <c r="A32" s="73">
        <v>576</v>
      </c>
      <c r="B32" t="s">
        <v>156</v>
      </c>
      <c r="C32" s="74" t="s">
        <v>144</v>
      </c>
      <c r="D32" t="s">
        <v>112</v>
      </c>
      <c r="E32" t="s">
        <v>145</v>
      </c>
      <c r="F32">
        <v>1431.5</v>
      </c>
      <c r="G32" t="s">
        <v>114</v>
      </c>
      <c r="H32">
        <v>868.63419999999996</v>
      </c>
    </row>
    <row r="33" spans="1:8" x14ac:dyDescent="0.3">
      <c r="A33" s="73">
        <v>575</v>
      </c>
      <c r="B33" t="s">
        <v>157</v>
      </c>
      <c r="C33" s="74" t="s">
        <v>144</v>
      </c>
      <c r="D33" t="s">
        <v>112</v>
      </c>
      <c r="E33" t="s">
        <v>145</v>
      </c>
      <c r="F33">
        <v>1263.4598000000001</v>
      </c>
      <c r="G33" t="s">
        <v>114</v>
      </c>
      <c r="H33">
        <v>747.96820000000002</v>
      </c>
    </row>
    <row r="34" spans="1:8" x14ac:dyDescent="0.3">
      <c r="A34" s="73">
        <v>574</v>
      </c>
      <c r="B34" t="s">
        <v>158</v>
      </c>
      <c r="C34" s="74" t="s">
        <v>144</v>
      </c>
      <c r="D34" t="s">
        <v>112</v>
      </c>
      <c r="E34" t="s">
        <v>145</v>
      </c>
      <c r="F34">
        <v>1301.3635999999999</v>
      </c>
      <c r="G34" t="s">
        <v>114</v>
      </c>
      <c r="H34">
        <v>722.2568</v>
      </c>
    </row>
    <row r="35" spans="1:8" x14ac:dyDescent="0.3">
      <c r="A35" s="73">
        <v>573</v>
      </c>
      <c r="B35" t="s">
        <v>159</v>
      </c>
      <c r="C35" s="74" t="s">
        <v>144</v>
      </c>
      <c r="D35" t="s">
        <v>112</v>
      </c>
      <c r="E35" t="s">
        <v>145</v>
      </c>
      <c r="F35">
        <v>1431.5</v>
      </c>
      <c r="G35" t="s">
        <v>114</v>
      </c>
      <c r="H35">
        <v>868.63419999999996</v>
      </c>
    </row>
    <row r="36" spans="1:8" x14ac:dyDescent="0.3">
      <c r="A36" s="73">
        <v>572</v>
      </c>
      <c r="B36" t="s">
        <v>160</v>
      </c>
      <c r="C36" s="74" t="s">
        <v>149</v>
      </c>
      <c r="D36" t="s">
        <v>112</v>
      </c>
      <c r="E36" t="s">
        <v>145</v>
      </c>
      <c r="F36">
        <v>1263.4598000000001</v>
      </c>
      <c r="G36" t="s">
        <v>114</v>
      </c>
      <c r="H36">
        <v>747.96820000000002</v>
      </c>
    </row>
    <row r="37" spans="1:8" x14ac:dyDescent="0.3">
      <c r="A37" s="73">
        <v>571</v>
      </c>
      <c r="B37" t="s">
        <v>161</v>
      </c>
      <c r="C37" s="74" t="s">
        <v>149</v>
      </c>
      <c r="D37" t="s">
        <v>112</v>
      </c>
      <c r="E37" t="s">
        <v>145</v>
      </c>
      <c r="F37">
        <v>1301.3635999999999</v>
      </c>
      <c r="G37" t="s">
        <v>114</v>
      </c>
      <c r="H37">
        <v>722.2568</v>
      </c>
    </row>
    <row r="38" spans="1:8" x14ac:dyDescent="0.3">
      <c r="A38" s="73">
        <v>570</v>
      </c>
      <c r="B38" t="s">
        <v>162</v>
      </c>
      <c r="C38" s="74" t="s">
        <v>149</v>
      </c>
      <c r="D38" t="s">
        <v>112</v>
      </c>
      <c r="E38" t="s">
        <v>145</v>
      </c>
      <c r="F38">
        <v>1431.5</v>
      </c>
      <c r="G38" t="s">
        <v>114</v>
      </c>
      <c r="H38">
        <v>868.63419999999996</v>
      </c>
    </row>
    <row r="39" spans="1:8" x14ac:dyDescent="0.3">
      <c r="A39" s="73">
        <v>569</v>
      </c>
      <c r="B39" t="s">
        <v>163</v>
      </c>
      <c r="C39" s="74" t="s">
        <v>149</v>
      </c>
      <c r="D39" t="s">
        <v>112</v>
      </c>
      <c r="E39" t="s">
        <v>145</v>
      </c>
      <c r="F39">
        <v>1263.4598000000001</v>
      </c>
      <c r="G39" t="s">
        <v>114</v>
      </c>
      <c r="H39">
        <v>747.96820000000002</v>
      </c>
    </row>
    <row r="40" spans="1:8" x14ac:dyDescent="0.3">
      <c r="A40" s="73">
        <v>568</v>
      </c>
      <c r="B40" t="s">
        <v>164</v>
      </c>
      <c r="C40" s="74" t="s">
        <v>149</v>
      </c>
      <c r="D40" t="s">
        <v>112</v>
      </c>
      <c r="E40" t="s">
        <v>145</v>
      </c>
      <c r="F40">
        <v>1301.3635999999999</v>
      </c>
      <c r="G40" t="s">
        <v>114</v>
      </c>
      <c r="H40">
        <v>722.2568</v>
      </c>
    </row>
    <row r="41" spans="1:8" x14ac:dyDescent="0.3">
      <c r="A41" s="73">
        <v>567</v>
      </c>
      <c r="B41" t="s">
        <v>165</v>
      </c>
      <c r="C41" s="74" t="s">
        <v>144</v>
      </c>
      <c r="D41" t="s">
        <v>112</v>
      </c>
      <c r="E41" t="s">
        <v>145</v>
      </c>
      <c r="F41">
        <v>1431.5</v>
      </c>
      <c r="G41" t="s">
        <v>114</v>
      </c>
      <c r="H41">
        <v>868.63419999999996</v>
      </c>
    </row>
    <row r="42" spans="1:8" x14ac:dyDescent="0.3">
      <c r="A42" s="73">
        <v>566</v>
      </c>
      <c r="B42" t="s">
        <v>166</v>
      </c>
      <c r="C42" s="74" t="s">
        <v>144</v>
      </c>
      <c r="D42" t="s">
        <v>112</v>
      </c>
      <c r="E42" t="s">
        <v>145</v>
      </c>
      <c r="F42">
        <v>1263.4598000000001</v>
      </c>
      <c r="G42" t="s">
        <v>114</v>
      </c>
      <c r="H42">
        <v>747.96820000000002</v>
      </c>
    </row>
    <row r="43" spans="1:8" x14ac:dyDescent="0.3">
      <c r="A43" s="73">
        <v>565</v>
      </c>
      <c r="B43" t="s">
        <v>167</v>
      </c>
      <c r="C43" s="74" t="s">
        <v>144</v>
      </c>
      <c r="D43" t="s">
        <v>112</v>
      </c>
      <c r="E43" t="s">
        <v>145</v>
      </c>
      <c r="F43">
        <v>1301.3635999999999</v>
      </c>
      <c r="G43" t="s">
        <v>114</v>
      </c>
      <c r="H43">
        <v>722.2568</v>
      </c>
    </row>
    <row r="44" spans="1:8" x14ac:dyDescent="0.3">
      <c r="A44" s="73">
        <v>564</v>
      </c>
      <c r="B44" t="s">
        <v>168</v>
      </c>
      <c r="C44" s="74" t="s">
        <v>149</v>
      </c>
      <c r="D44" t="s">
        <v>112</v>
      </c>
      <c r="E44" t="s">
        <v>145</v>
      </c>
      <c r="F44">
        <v>1431.5</v>
      </c>
      <c r="G44" t="s">
        <v>114</v>
      </c>
      <c r="H44">
        <v>868.63419999999996</v>
      </c>
    </row>
    <row r="45" spans="1:8" x14ac:dyDescent="0.3">
      <c r="A45" s="73">
        <v>563</v>
      </c>
      <c r="B45" t="s">
        <v>169</v>
      </c>
      <c r="C45" s="74" t="s">
        <v>149</v>
      </c>
      <c r="D45" t="s">
        <v>112</v>
      </c>
      <c r="E45" t="s">
        <v>145</v>
      </c>
      <c r="F45">
        <v>297.63459999999998</v>
      </c>
      <c r="G45" t="s">
        <v>170</v>
      </c>
      <c r="H45">
        <v>176.19970000000001</v>
      </c>
    </row>
    <row r="46" spans="1:8" x14ac:dyDescent="0.3">
      <c r="A46" s="73">
        <v>562</v>
      </c>
      <c r="B46" t="s">
        <v>171</v>
      </c>
      <c r="C46" s="74" t="s">
        <v>149</v>
      </c>
      <c r="D46" t="s">
        <v>112</v>
      </c>
      <c r="E46" t="s">
        <v>145</v>
      </c>
      <c r="F46">
        <v>306.56360000000001</v>
      </c>
      <c r="G46" t="s">
        <v>170</v>
      </c>
      <c r="H46">
        <v>170.14279999999999</v>
      </c>
    </row>
    <row r="47" spans="1:8" x14ac:dyDescent="0.3">
      <c r="A47" s="73">
        <v>561</v>
      </c>
      <c r="B47" t="s">
        <v>172</v>
      </c>
      <c r="C47" s="74" t="s">
        <v>149</v>
      </c>
      <c r="D47" t="s">
        <v>112</v>
      </c>
      <c r="E47" t="s">
        <v>145</v>
      </c>
      <c r="F47">
        <v>337.22</v>
      </c>
      <c r="G47" t="s">
        <v>170</v>
      </c>
      <c r="H47">
        <v>204.6251</v>
      </c>
    </row>
    <row r="48" spans="1:8" x14ac:dyDescent="0.3">
      <c r="A48" s="73">
        <v>560</v>
      </c>
      <c r="B48" t="s">
        <v>173</v>
      </c>
      <c r="C48" s="74" t="s">
        <v>144</v>
      </c>
      <c r="D48" t="s">
        <v>112</v>
      </c>
      <c r="E48" t="s">
        <v>145</v>
      </c>
      <c r="F48">
        <v>297.63459999999998</v>
      </c>
      <c r="G48" t="s">
        <v>170</v>
      </c>
      <c r="H48">
        <v>176.19970000000001</v>
      </c>
    </row>
    <row r="49" spans="1:8" x14ac:dyDescent="0.3">
      <c r="A49" s="73">
        <v>559</v>
      </c>
      <c r="B49" t="s">
        <v>174</v>
      </c>
      <c r="C49" s="74" t="s">
        <v>132</v>
      </c>
      <c r="D49" t="s">
        <v>120</v>
      </c>
      <c r="E49" t="s">
        <v>175</v>
      </c>
      <c r="F49">
        <v>306.56360000000001</v>
      </c>
      <c r="G49" t="s">
        <v>170</v>
      </c>
      <c r="H49">
        <v>170.14279999999999</v>
      </c>
    </row>
    <row r="50" spans="1:8" x14ac:dyDescent="0.3">
      <c r="A50" s="73">
        <v>558</v>
      </c>
      <c r="B50" t="s">
        <v>176</v>
      </c>
      <c r="C50" s="74" t="s">
        <v>111</v>
      </c>
      <c r="D50" t="s">
        <v>120</v>
      </c>
      <c r="E50" t="s">
        <v>177</v>
      </c>
      <c r="F50">
        <v>337.22</v>
      </c>
      <c r="G50" t="s">
        <v>170</v>
      </c>
      <c r="H50">
        <v>204.6251</v>
      </c>
    </row>
    <row r="51" spans="1:8" x14ac:dyDescent="0.3">
      <c r="A51" s="73">
        <v>557</v>
      </c>
      <c r="B51" t="s">
        <v>178</v>
      </c>
      <c r="C51" s="74" t="s">
        <v>111</v>
      </c>
      <c r="D51" t="s">
        <v>120</v>
      </c>
      <c r="E51" t="s">
        <v>177</v>
      </c>
      <c r="F51">
        <v>297.63459999999998</v>
      </c>
      <c r="G51" t="s">
        <v>170</v>
      </c>
      <c r="H51">
        <v>176.19970000000001</v>
      </c>
    </row>
    <row r="52" spans="1:8" x14ac:dyDescent="0.3">
      <c r="A52" s="73">
        <v>556</v>
      </c>
      <c r="B52" t="s">
        <v>179</v>
      </c>
      <c r="C52" s="74" t="s">
        <v>111</v>
      </c>
      <c r="D52" t="s">
        <v>120</v>
      </c>
      <c r="E52" t="s">
        <v>177</v>
      </c>
      <c r="F52">
        <v>306.56360000000001</v>
      </c>
      <c r="G52" t="s">
        <v>170</v>
      </c>
      <c r="H52">
        <v>170.14279999999999</v>
      </c>
    </row>
    <row r="53" spans="1:8" x14ac:dyDescent="0.3">
      <c r="A53" s="73">
        <v>555</v>
      </c>
      <c r="B53" t="s">
        <v>180</v>
      </c>
      <c r="C53" s="74" t="s">
        <v>132</v>
      </c>
      <c r="D53" t="s">
        <v>120</v>
      </c>
      <c r="E53" t="s">
        <v>181</v>
      </c>
      <c r="F53">
        <v>337.22</v>
      </c>
      <c r="G53" t="s">
        <v>170</v>
      </c>
      <c r="H53">
        <v>204.6251</v>
      </c>
    </row>
    <row r="54" spans="1:8" x14ac:dyDescent="0.3">
      <c r="A54" s="73">
        <v>554</v>
      </c>
      <c r="B54" t="s">
        <v>182</v>
      </c>
      <c r="C54" s="74" t="s">
        <v>119</v>
      </c>
      <c r="D54" t="s">
        <v>120</v>
      </c>
      <c r="E54" t="s">
        <v>183</v>
      </c>
      <c r="F54">
        <v>306.56360000000001</v>
      </c>
      <c r="G54" t="s">
        <v>170</v>
      </c>
      <c r="H54">
        <v>181.48570000000001</v>
      </c>
    </row>
    <row r="55" spans="1:8" x14ac:dyDescent="0.3">
      <c r="A55" s="73">
        <v>553</v>
      </c>
      <c r="B55" t="s">
        <v>184</v>
      </c>
      <c r="C55" s="74" t="s">
        <v>119</v>
      </c>
      <c r="D55" t="s">
        <v>120</v>
      </c>
      <c r="E55" t="s">
        <v>183</v>
      </c>
      <c r="F55">
        <v>337.22</v>
      </c>
      <c r="G55" t="s">
        <v>170</v>
      </c>
      <c r="H55">
        <v>187.15710000000001</v>
      </c>
    </row>
    <row r="56" spans="1:8" x14ac:dyDescent="0.3">
      <c r="A56" s="73">
        <v>552</v>
      </c>
      <c r="B56" t="s">
        <v>185</v>
      </c>
      <c r="C56" s="74" t="s">
        <v>132</v>
      </c>
      <c r="D56" t="s">
        <v>120</v>
      </c>
      <c r="E56" t="s">
        <v>186</v>
      </c>
      <c r="F56">
        <v>306.56360000000001</v>
      </c>
      <c r="G56" t="s">
        <v>170</v>
      </c>
      <c r="H56">
        <v>181.48570000000001</v>
      </c>
    </row>
    <row r="57" spans="1:8" x14ac:dyDescent="0.3">
      <c r="A57" s="73">
        <v>551</v>
      </c>
      <c r="B57" t="s">
        <v>187</v>
      </c>
      <c r="C57" s="74" t="s">
        <v>132</v>
      </c>
      <c r="D57" t="s">
        <v>120</v>
      </c>
      <c r="E57" t="s">
        <v>188</v>
      </c>
      <c r="F57">
        <v>337.22</v>
      </c>
      <c r="G57" t="s">
        <v>170</v>
      </c>
      <c r="H57">
        <v>187.15710000000001</v>
      </c>
    </row>
    <row r="58" spans="1:8" x14ac:dyDescent="0.3">
      <c r="A58" s="73">
        <v>550</v>
      </c>
      <c r="B58" t="s">
        <v>189</v>
      </c>
      <c r="C58" s="74" t="s">
        <v>111</v>
      </c>
      <c r="D58" t="s">
        <v>120</v>
      </c>
      <c r="E58" t="s">
        <v>188</v>
      </c>
      <c r="F58">
        <v>306.56360000000001</v>
      </c>
      <c r="G58" t="s">
        <v>170</v>
      </c>
      <c r="H58">
        <v>181.48570000000001</v>
      </c>
    </row>
    <row r="59" spans="1:8" x14ac:dyDescent="0.3">
      <c r="A59" s="73">
        <v>549</v>
      </c>
      <c r="B59" t="s">
        <v>190</v>
      </c>
      <c r="C59" s="74" t="s">
        <v>132</v>
      </c>
      <c r="D59" t="s">
        <v>120</v>
      </c>
      <c r="E59" t="s">
        <v>188</v>
      </c>
      <c r="F59">
        <v>337.22</v>
      </c>
      <c r="G59" t="s">
        <v>170</v>
      </c>
      <c r="H59">
        <v>187.15710000000001</v>
      </c>
    </row>
    <row r="60" spans="1:8" x14ac:dyDescent="0.3">
      <c r="A60" s="73">
        <v>548</v>
      </c>
      <c r="B60" t="s">
        <v>191</v>
      </c>
      <c r="C60" s="74" t="s">
        <v>192</v>
      </c>
      <c r="D60" t="s">
        <v>120</v>
      </c>
      <c r="E60" t="s">
        <v>193</v>
      </c>
      <c r="F60">
        <v>306.56360000000001</v>
      </c>
      <c r="G60" t="s">
        <v>170</v>
      </c>
      <c r="H60">
        <v>181.48570000000001</v>
      </c>
    </row>
    <row r="61" spans="1:8" x14ac:dyDescent="0.3">
      <c r="A61" s="73">
        <v>547</v>
      </c>
      <c r="B61" t="s">
        <v>194</v>
      </c>
      <c r="C61" s="74" t="s">
        <v>192</v>
      </c>
      <c r="D61" t="s">
        <v>120</v>
      </c>
      <c r="E61" t="s">
        <v>193</v>
      </c>
      <c r="F61">
        <v>337.22</v>
      </c>
      <c r="G61" t="s">
        <v>170</v>
      </c>
      <c r="H61">
        <v>187.15710000000001</v>
      </c>
    </row>
    <row r="62" spans="1:8" x14ac:dyDescent="0.3">
      <c r="A62" s="73">
        <v>546</v>
      </c>
      <c r="B62" t="s">
        <v>195</v>
      </c>
      <c r="C62" s="74" t="s">
        <v>192</v>
      </c>
      <c r="D62" t="s">
        <v>120</v>
      </c>
      <c r="E62" t="s">
        <v>193</v>
      </c>
      <c r="F62">
        <v>306.56360000000001</v>
      </c>
      <c r="G62" t="s">
        <v>170</v>
      </c>
      <c r="H62">
        <v>181.48570000000001</v>
      </c>
    </row>
    <row r="63" spans="1:8" x14ac:dyDescent="0.3">
      <c r="A63" s="73">
        <v>545</v>
      </c>
      <c r="B63" t="s">
        <v>196</v>
      </c>
      <c r="C63" s="74" t="s">
        <v>192</v>
      </c>
      <c r="D63" t="s">
        <v>120</v>
      </c>
      <c r="E63" t="s">
        <v>193</v>
      </c>
      <c r="F63">
        <v>337.22</v>
      </c>
      <c r="G63" t="s">
        <v>170</v>
      </c>
      <c r="H63">
        <v>187.15710000000001</v>
      </c>
    </row>
    <row r="64" spans="1:8" x14ac:dyDescent="0.3">
      <c r="A64" s="73">
        <v>544</v>
      </c>
      <c r="B64" t="s">
        <v>197</v>
      </c>
      <c r="C64" s="74" t="s">
        <v>192</v>
      </c>
      <c r="D64" t="s">
        <v>120</v>
      </c>
      <c r="E64" t="s">
        <v>193</v>
      </c>
      <c r="F64">
        <v>306.56360000000001</v>
      </c>
      <c r="G64" t="s">
        <v>170</v>
      </c>
      <c r="H64">
        <v>181.48570000000001</v>
      </c>
    </row>
    <row r="65" spans="1:8" x14ac:dyDescent="0.3">
      <c r="A65" s="73">
        <v>543</v>
      </c>
      <c r="B65" t="s">
        <v>198</v>
      </c>
      <c r="C65" s="74" t="s">
        <v>192</v>
      </c>
      <c r="D65" t="s">
        <v>120</v>
      </c>
      <c r="E65" t="s">
        <v>193</v>
      </c>
      <c r="F65">
        <v>337.22</v>
      </c>
      <c r="G65" t="s">
        <v>170</v>
      </c>
      <c r="H65">
        <v>187.15710000000001</v>
      </c>
    </row>
    <row r="66" spans="1:8" x14ac:dyDescent="0.3">
      <c r="A66" s="73">
        <v>542</v>
      </c>
      <c r="B66" t="s">
        <v>199</v>
      </c>
      <c r="C66" s="74" t="s">
        <v>192</v>
      </c>
      <c r="D66" t="s">
        <v>120</v>
      </c>
      <c r="E66" t="s">
        <v>193</v>
      </c>
      <c r="F66">
        <v>594.83000000000004</v>
      </c>
      <c r="G66" t="s">
        <v>200</v>
      </c>
      <c r="H66">
        <v>352.13940000000002</v>
      </c>
    </row>
    <row r="67" spans="1:8" x14ac:dyDescent="0.3">
      <c r="A67" s="73">
        <v>541</v>
      </c>
      <c r="B67" t="s">
        <v>201</v>
      </c>
      <c r="C67" s="74" t="s">
        <v>119</v>
      </c>
      <c r="D67" t="s">
        <v>202</v>
      </c>
      <c r="E67" t="s">
        <v>203</v>
      </c>
      <c r="F67">
        <v>594.83000000000004</v>
      </c>
      <c r="G67" t="s">
        <v>200</v>
      </c>
      <c r="H67">
        <v>352.13940000000002</v>
      </c>
    </row>
    <row r="68" spans="1:8" x14ac:dyDescent="0.3">
      <c r="A68" s="73">
        <v>540</v>
      </c>
      <c r="B68" t="s">
        <v>204</v>
      </c>
      <c r="C68" s="74" t="s">
        <v>119</v>
      </c>
      <c r="D68" t="s">
        <v>202</v>
      </c>
      <c r="E68" t="s">
        <v>203</v>
      </c>
      <c r="F68">
        <v>594.83000000000004</v>
      </c>
      <c r="G68" t="s">
        <v>200</v>
      </c>
      <c r="H68">
        <v>352.13940000000002</v>
      </c>
    </row>
    <row r="69" spans="1:8" x14ac:dyDescent="0.3">
      <c r="A69" s="73">
        <v>539</v>
      </c>
      <c r="B69" t="s">
        <v>205</v>
      </c>
      <c r="C69" s="74" t="s">
        <v>119</v>
      </c>
      <c r="D69" t="s">
        <v>202</v>
      </c>
      <c r="E69" t="s">
        <v>203</v>
      </c>
      <c r="F69">
        <v>594.83000000000004</v>
      </c>
      <c r="G69" t="s">
        <v>200</v>
      </c>
      <c r="H69">
        <v>352.13940000000002</v>
      </c>
    </row>
    <row r="70" spans="1:8" x14ac:dyDescent="0.3">
      <c r="A70" s="73">
        <v>538</v>
      </c>
      <c r="B70" t="s">
        <v>206</v>
      </c>
      <c r="C70" s="74" t="s">
        <v>119</v>
      </c>
      <c r="D70" t="s">
        <v>202</v>
      </c>
      <c r="E70" t="s">
        <v>203</v>
      </c>
      <c r="F70">
        <v>594.83000000000004</v>
      </c>
      <c r="G70" t="s">
        <v>200</v>
      </c>
      <c r="H70">
        <v>352.13940000000002</v>
      </c>
    </row>
    <row r="71" spans="1:8" x14ac:dyDescent="0.3">
      <c r="A71" s="73">
        <v>537</v>
      </c>
      <c r="B71" t="s">
        <v>207</v>
      </c>
      <c r="C71" s="74" t="s">
        <v>119</v>
      </c>
      <c r="D71" t="s">
        <v>202</v>
      </c>
      <c r="E71" t="s">
        <v>203</v>
      </c>
      <c r="F71">
        <v>297.63459999999998</v>
      </c>
      <c r="G71" t="s">
        <v>170</v>
      </c>
      <c r="H71">
        <v>176.19970000000001</v>
      </c>
    </row>
    <row r="72" spans="1:8" x14ac:dyDescent="0.3">
      <c r="A72" s="73">
        <v>536</v>
      </c>
      <c r="B72" t="s">
        <v>208</v>
      </c>
      <c r="C72" s="74" t="s">
        <v>119</v>
      </c>
      <c r="D72" t="s">
        <v>202</v>
      </c>
      <c r="E72" t="s">
        <v>203</v>
      </c>
      <c r="F72">
        <v>306.56360000000001</v>
      </c>
      <c r="G72" t="s">
        <v>170</v>
      </c>
      <c r="H72">
        <v>170.14279999999999</v>
      </c>
    </row>
    <row r="73" spans="1:8" x14ac:dyDescent="0.3">
      <c r="A73" s="73">
        <v>535</v>
      </c>
      <c r="B73" t="s">
        <v>209</v>
      </c>
      <c r="C73" s="74" t="s">
        <v>119</v>
      </c>
      <c r="D73" t="s">
        <v>202</v>
      </c>
      <c r="E73" t="s">
        <v>203</v>
      </c>
      <c r="F73">
        <v>337.22</v>
      </c>
      <c r="G73" t="s">
        <v>170</v>
      </c>
      <c r="H73">
        <v>204.6251</v>
      </c>
    </row>
    <row r="74" spans="1:8" x14ac:dyDescent="0.3">
      <c r="A74" s="73">
        <v>534</v>
      </c>
      <c r="B74" t="s">
        <v>210</v>
      </c>
      <c r="C74" s="74" t="s">
        <v>111</v>
      </c>
      <c r="D74" t="s">
        <v>120</v>
      </c>
      <c r="E74" t="s">
        <v>188</v>
      </c>
      <c r="F74">
        <v>297.63459999999998</v>
      </c>
      <c r="G74" t="s">
        <v>170</v>
      </c>
      <c r="H74">
        <v>176.19970000000001</v>
      </c>
    </row>
    <row r="75" spans="1:8" x14ac:dyDescent="0.3">
      <c r="A75" s="73">
        <v>533</v>
      </c>
      <c r="B75" t="s">
        <v>211</v>
      </c>
      <c r="C75" s="74" t="s">
        <v>111</v>
      </c>
      <c r="D75" t="s">
        <v>120</v>
      </c>
      <c r="E75" t="s">
        <v>188</v>
      </c>
      <c r="F75">
        <v>306.56360000000001</v>
      </c>
      <c r="G75" t="s">
        <v>170</v>
      </c>
      <c r="H75">
        <v>170.14279999999999</v>
      </c>
    </row>
    <row r="76" spans="1:8" x14ac:dyDescent="0.3">
      <c r="A76" s="73">
        <v>532</v>
      </c>
      <c r="B76" t="s">
        <v>212</v>
      </c>
      <c r="C76" s="74" t="s">
        <v>111</v>
      </c>
      <c r="D76" t="s">
        <v>120</v>
      </c>
      <c r="E76" t="s">
        <v>188</v>
      </c>
      <c r="F76">
        <v>337.22</v>
      </c>
      <c r="G76" t="s">
        <v>170</v>
      </c>
      <c r="H76">
        <v>204.6251</v>
      </c>
    </row>
    <row r="77" spans="1:8" x14ac:dyDescent="0.3">
      <c r="A77" s="73">
        <v>531</v>
      </c>
      <c r="B77" t="s">
        <v>213</v>
      </c>
      <c r="C77" s="74" t="s">
        <v>111</v>
      </c>
      <c r="D77" t="s">
        <v>120</v>
      </c>
      <c r="E77" t="s">
        <v>188</v>
      </c>
      <c r="F77">
        <v>297.63459999999998</v>
      </c>
      <c r="G77" t="s">
        <v>170</v>
      </c>
      <c r="H77">
        <v>176.19970000000001</v>
      </c>
    </row>
    <row r="78" spans="1:8" x14ac:dyDescent="0.3">
      <c r="A78" s="73">
        <v>530</v>
      </c>
      <c r="B78" t="s">
        <v>214</v>
      </c>
      <c r="C78" s="74" t="s">
        <v>119</v>
      </c>
      <c r="D78" t="s">
        <v>202</v>
      </c>
      <c r="E78" t="s">
        <v>203</v>
      </c>
      <c r="F78">
        <v>306.56360000000001</v>
      </c>
      <c r="G78" t="s">
        <v>170</v>
      </c>
      <c r="H78">
        <v>170.14279999999999</v>
      </c>
    </row>
    <row r="79" spans="1:8" x14ac:dyDescent="0.3">
      <c r="A79" s="73">
        <v>529</v>
      </c>
      <c r="B79" t="s">
        <v>215</v>
      </c>
      <c r="C79" s="74" t="s">
        <v>119</v>
      </c>
      <c r="D79" t="s">
        <v>202</v>
      </c>
      <c r="E79" t="s">
        <v>203</v>
      </c>
      <c r="F79">
        <v>337.22</v>
      </c>
      <c r="G79" t="s">
        <v>170</v>
      </c>
      <c r="H79">
        <v>204.6251</v>
      </c>
    </row>
    <row r="80" spans="1:8" x14ac:dyDescent="0.3">
      <c r="A80" s="73">
        <v>528</v>
      </c>
      <c r="B80" t="s">
        <v>216</v>
      </c>
      <c r="C80" s="74" t="s">
        <v>119</v>
      </c>
      <c r="D80" t="s">
        <v>202</v>
      </c>
      <c r="E80" t="s">
        <v>203</v>
      </c>
      <c r="F80">
        <v>1204.3248000000001</v>
      </c>
      <c r="G80" t="s">
        <v>217</v>
      </c>
      <c r="H80">
        <v>623.84029999999996</v>
      </c>
    </row>
    <row r="81" spans="1:8" x14ac:dyDescent="0.3">
      <c r="A81" s="73">
        <v>527</v>
      </c>
      <c r="B81" t="s">
        <v>218</v>
      </c>
      <c r="C81" s="74" t="s">
        <v>132</v>
      </c>
      <c r="D81" t="s">
        <v>120</v>
      </c>
      <c r="E81" t="s">
        <v>188</v>
      </c>
      <c r="F81">
        <v>1240.4545000000001</v>
      </c>
      <c r="G81" t="s">
        <v>217</v>
      </c>
      <c r="H81">
        <v>660.91420000000005</v>
      </c>
    </row>
    <row r="82" spans="1:8" x14ac:dyDescent="0.3">
      <c r="A82" s="73">
        <v>526</v>
      </c>
      <c r="B82" t="s">
        <v>219</v>
      </c>
      <c r="C82" s="74" t="s">
        <v>132</v>
      </c>
      <c r="D82" t="s">
        <v>120</v>
      </c>
      <c r="E82" t="s">
        <v>188</v>
      </c>
      <c r="F82">
        <v>1364.5</v>
      </c>
      <c r="G82" t="s">
        <v>217</v>
      </c>
      <c r="H82">
        <v>747.2002</v>
      </c>
    </row>
    <row r="83" spans="1:8" x14ac:dyDescent="0.3">
      <c r="A83" s="73">
        <v>525</v>
      </c>
      <c r="B83" t="s">
        <v>220</v>
      </c>
      <c r="C83" s="74" t="s">
        <v>132</v>
      </c>
      <c r="D83" t="s">
        <v>120</v>
      </c>
      <c r="E83" t="s">
        <v>188</v>
      </c>
      <c r="F83">
        <v>1364.5</v>
      </c>
      <c r="G83" t="s">
        <v>217</v>
      </c>
      <c r="H83">
        <v>706.81100000000004</v>
      </c>
    </row>
    <row r="84" spans="1:8" x14ac:dyDescent="0.3">
      <c r="A84" s="73">
        <v>524</v>
      </c>
      <c r="B84" t="s">
        <v>221</v>
      </c>
      <c r="C84" s="74" t="s">
        <v>132</v>
      </c>
      <c r="D84" t="s">
        <v>120</v>
      </c>
      <c r="E84" t="s">
        <v>188</v>
      </c>
      <c r="F84">
        <v>1364.5</v>
      </c>
      <c r="G84" t="s">
        <v>217</v>
      </c>
      <c r="H84">
        <v>706.81100000000004</v>
      </c>
    </row>
    <row r="85" spans="1:8" x14ac:dyDescent="0.3">
      <c r="A85" s="73">
        <v>523</v>
      </c>
      <c r="B85" t="s">
        <v>222</v>
      </c>
      <c r="C85" s="74" t="s">
        <v>119</v>
      </c>
      <c r="D85" t="s">
        <v>120</v>
      </c>
      <c r="E85" t="s">
        <v>223</v>
      </c>
      <c r="F85">
        <v>1204.3248000000001</v>
      </c>
      <c r="G85" t="s">
        <v>217</v>
      </c>
      <c r="H85">
        <v>623.84029999999996</v>
      </c>
    </row>
    <row r="86" spans="1:8" x14ac:dyDescent="0.3">
      <c r="A86" s="73">
        <v>522</v>
      </c>
      <c r="B86" t="s">
        <v>224</v>
      </c>
      <c r="C86" s="74" t="s">
        <v>119</v>
      </c>
      <c r="D86" t="s">
        <v>120</v>
      </c>
      <c r="E86" t="s">
        <v>223</v>
      </c>
      <c r="F86">
        <v>1240.4545000000001</v>
      </c>
      <c r="G86" t="s">
        <v>217</v>
      </c>
      <c r="H86">
        <v>660.91420000000005</v>
      </c>
    </row>
    <row r="87" spans="1:8" x14ac:dyDescent="0.3">
      <c r="A87" s="73">
        <v>521</v>
      </c>
      <c r="B87" t="s">
        <v>225</v>
      </c>
      <c r="C87" s="74" t="s">
        <v>119</v>
      </c>
      <c r="D87" t="s">
        <v>120</v>
      </c>
      <c r="E87" t="s">
        <v>223</v>
      </c>
      <c r="F87">
        <v>1364.5</v>
      </c>
      <c r="G87" t="s">
        <v>217</v>
      </c>
      <c r="H87">
        <v>747.2002</v>
      </c>
    </row>
    <row r="88" spans="1:8" x14ac:dyDescent="0.3">
      <c r="A88" s="73">
        <v>520</v>
      </c>
      <c r="B88" t="s">
        <v>226</v>
      </c>
      <c r="C88" s="74" t="s">
        <v>119</v>
      </c>
      <c r="D88" t="s">
        <v>120</v>
      </c>
      <c r="E88" t="s">
        <v>223</v>
      </c>
      <c r="F88">
        <v>1191.1739</v>
      </c>
      <c r="G88" t="s">
        <v>217</v>
      </c>
      <c r="H88">
        <v>617.02809999999999</v>
      </c>
    </row>
    <row r="89" spans="1:8" x14ac:dyDescent="0.3">
      <c r="A89" s="73">
        <v>519</v>
      </c>
      <c r="B89" t="s">
        <v>227</v>
      </c>
      <c r="C89" s="74" t="s">
        <v>119</v>
      </c>
      <c r="D89" t="s">
        <v>120</v>
      </c>
      <c r="E89" t="s">
        <v>223</v>
      </c>
      <c r="F89">
        <v>1226.9091000000001</v>
      </c>
      <c r="G89" t="s">
        <v>217</v>
      </c>
      <c r="H89">
        <v>653.69709999999998</v>
      </c>
    </row>
    <row r="90" spans="1:8" x14ac:dyDescent="0.3">
      <c r="A90" s="73">
        <v>518</v>
      </c>
      <c r="B90" t="s">
        <v>228</v>
      </c>
      <c r="C90" s="74" t="s">
        <v>119</v>
      </c>
      <c r="D90" t="s">
        <v>120</v>
      </c>
      <c r="E90" t="s">
        <v>223</v>
      </c>
      <c r="F90">
        <v>1349.6</v>
      </c>
      <c r="G90" t="s">
        <v>217</v>
      </c>
      <c r="H90">
        <v>739.04100000000005</v>
      </c>
    </row>
    <row r="91" spans="1:8" x14ac:dyDescent="0.3">
      <c r="A91" s="73">
        <v>517</v>
      </c>
      <c r="B91" t="s">
        <v>229</v>
      </c>
      <c r="C91" s="74" t="s">
        <v>119</v>
      </c>
      <c r="D91" t="s">
        <v>120</v>
      </c>
      <c r="E91" t="s">
        <v>223</v>
      </c>
      <c r="F91">
        <v>1349.6</v>
      </c>
      <c r="G91" t="s">
        <v>217</v>
      </c>
      <c r="H91">
        <v>699.09280000000001</v>
      </c>
    </row>
    <row r="92" spans="1:8" x14ac:dyDescent="0.3">
      <c r="A92" s="73">
        <v>516</v>
      </c>
      <c r="B92" t="s">
        <v>230</v>
      </c>
      <c r="C92" s="74" t="s">
        <v>119</v>
      </c>
      <c r="D92" t="s">
        <v>120</v>
      </c>
      <c r="E92" t="s">
        <v>223</v>
      </c>
      <c r="F92">
        <v>1349.6</v>
      </c>
      <c r="G92" t="s">
        <v>217</v>
      </c>
      <c r="H92">
        <v>699.09280000000001</v>
      </c>
    </row>
    <row r="93" spans="1:8" x14ac:dyDescent="0.3">
      <c r="A93" s="73">
        <v>515</v>
      </c>
      <c r="B93" t="s">
        <v>231</v>
      </c>
      <c r="C93" s="74" t="s">
        <v>119</v>
      </c>
      <c r="D93" t="s">
        <v>120</v>
      </c>
      <c r="E93" t="s">
        <v>223</v>
      </c>
      <c r="F93">
        <v>1191.1739</v>
      </c>
      <c r="G93" t="s">
        <v>217</v>
      </c>
      <c r="H93">
        <v>617.02809999999999</v>
      </c>
    </row>
    <row r="94" spans="1:8" x14ac:dyDescent="0.3">
      <c r="A94" s="73">
        <v>514</v>
      </c>
      <c r="B94" t="s">
        <v>232</v>
      </c>
      <c r="C94" s="74" t="s">
        <v>132</v>
      </c>
      <c r="D94" t="s">
        <v>120</v>
      </c>
      <c r="E94" t="s">
        <v>181</v>
      </c>
      <c r="F94">
        <v>1226.9091000000001</v>
      </c>
      <c r="G94" t="s">
        <v>217</v>
      </c>
      <c r="H94">
        <v>653.69709999999998</v>
      </c>
    </row>
    <row r="95" spans="1:8" x14ac:dyDescent="0.3">
      <c r="A95" s="73">
        <v>513</v>
      </c>
      <c r="B95" t="s">
        <v>233</v>
      </c>
      <c r="C95" s="74" t="s">
        <v>132</v>
      </c>
      <c r="D95" t="s">
        <v>120</v>
      </c>
      <c r="E95" t="s">
        <v>188</v>
      </c>
      <c r="F95">
        <v>1349.6</v>
      </c>
      <c r="G95" t="s">
        <v>217</v>
      </c>
      <c r="H95">
        <v>739.04100000000005</v>
      </c>
    </row>
    <row r="96" spans="1:8" x14ac:dyDescent="0.3">
      <c r="A96" s="73">
        <v>512</v>
      </c>
      <c r="B96" t="s">
        <v>234</v>
      </c>
      <c r="C96" s="74" t="s">
        <v>132</v>
      </c>
      <c r="D96" t="s">
        <v>120</v>
      </c>
      <c r="E96" t="s">
        <v>188</v>
      </c>
      <c r="F96">
        <v>1191.1739</v>
      </c>
      <c r="G96" t="s">
        <v>217</v>
      </c>
      <c r="H96">
        <v>617.02809999999999</v>
      </c>
    </row>
    <row r="97" spans="1:8" x14ac:dyDescent="0.3">
      <c r="A97" s="73">
        <v>511</v>
      </c>
      <c r="B97" t="s">
        <v>235</v>
      </c>
      <c r="C97" s="74" t="s">
        <v>132</v>
      </c>
      <c r="D97" t="s">
        <v>120</v>
      </c>
      <c r="E97" t="s">
        <v>188</v>
      </c>
      <c r="F97">
        <v>1226.9091000000001</v>
      </c>
      <c r="G97" t="s">
        <v>217</v>
      </c>
      <c r="H97">
        <v>653.69709999999998</v>
      </c>
    </row>
    <row r="98" spans="1:8" x14ac:dyDescent="0.3">
      <c r="A98" s="73">
        <v>510</v>
      </c>
      <c r="B98" t="s">
        <v>236</v>
      </c>
      <c r="C98" s="74" t="s">
        <v>144</v>
      </c>
      <c r="D98" t="s">
        <v>120</v>
      </c>
      <c r="E98" t="s">
        <v>237</v>
      </c>
      <c r="F98">
        <v>1349.6</v>
      </c>
      <c r="G98" t="s">
        <v>217</v>
      </c>
      <c r="H98">
        <v>739.04100000000005</v>
      </c>
    </row>
    <row r="99" spans="1:8" x14ac:dyDescent="0.3">
      <c r="A99" s="73">
        <v>509</v>
      </c>
      <c r="B99" t="s">
        <v>238</v>
      </c>
      <c r="C99" s="74" t="s">
        <v>149</v>
      </c>
      <c r="D99" t="s">
        <v>120</v>
      </c>
      <c r="E99" t="s">
        <v>237</v>
      </c>
      <c r="F99">
        <v>1204.3248000000001</v>
      </c>
      <c r="G99" t="s">
        <v>217</v>
      </c>
      <c r="H99">
        <v>623.84029999999996</v>
      </c>
    </row>
    <row r="100" spans="1:8" x14ac:dyDescent="0.3">
      <c r="A100" s="73">
        <v>508</v>
      </c>
      <c r="B100" t="s">
        <v>239</v>
      </c>
      <c r="C100" s="74" t="s">
        <v>149</v>
      </c>
      <c r="D100" t="s">
        <v>120</v>
      </c>
      <c r="E100" t="s">
        <v>237</v>
      </c>
      <c r="F100">
        <v>1240.4545000000001</v>
      </c>
      <c r="G100" t="s">
        <v>217</v>
      </c>
      <c r="H100">
        <v>660.91420000000005</v>
      </c>
    </row>
    <row r="101" spans="1:8" x14ac:dyDescent="0.3">
      <c r="A101" s="73">
        <v>507</v>
      </c>
      <c r="B101" t="s">
        <v>240</v>
      </c>
      <c r="C101" s="74" t="s">
        <v>149</v>
      </c>
      <c r="D101" t="s">
        <v>120</v>
      </c>
      <c r="E101" t="s">
        <v>237</v>
      </c>
      <c r="F101">
        <v>1364.5</v>
      </c>
      <c r="G101" t="s">
        <v>217</v>
      </c>
      <c r="H101">
        <v>747.2002</v>
      </c>
    </row>
    <row r="102" spans="1:8" x14ac:dyDescent="0.3">
      <c r="A102" s="73">
        <v>506</v>
      </c>
      <c r="B102" t="s">
        <v>241</v>
      </c>
      <c r="C102" s="74" t="s">
        <v>149</v>
      </c>
      <c r="D102" t="s">
        <v>120</v>
      </c>
      <c r="E102" t="s">
        <v>237</v>
      </c>
      <c r="F102">
        <v>3578.27</v>
      </c>
      <c r="G102" t="s">
        <v>242</v>
      </c>
      <c r="H102">
        <v>2171.2941999999998</v>
      </c>
    </row>
    <row r="103" spans="1:8" x14ac:dyDescent="0.3">
      <c r="A103" s="73">
        <v>505</v>
      </c>
      <c r="B103" t="s">
        <v>243</v>
      </c>
      <c r="C103" s="74" t="s">
        <v>144</v>
      </c>
      <c r="D103" t="s">
        <v>120</v>
      </c>
      <c r="E103" t="s">
        <v>237</v>
      </c>
      <c r="F103">
        <v>3578.27</v>
      </c>
      <c r="G103" t="s">
        <v>242</v>
      </c>
      <c r="H103">
        <v>2171.2941999999998</v>
      </c>
    </row>
    <row r="104" spans="1:8" x14ac:dyDescent="0.3">
      <c r="A104" s="73">
        <v>504</v>
      </c>
      <c r="B104" t="s">
        <v>244</v>
      </c>
      <c r="C104" s="74" t="s">
        <v>144</v>
      </c>
      <c r="D104" t="s">
        <v>120</v>
      </c>
      <c r="E104" t="s">
        <v>237</v>
      </c>
      <c r="F104">
        <v>3578.27</v>
      </c>
      <c r="G104" t="s">
        <v>242</v>
      </c>
      <c r="H104">
        <v>2171.2941999999998</v>
      </c>
    </row>
    <row r="105" spans="1:8" x14ac:dyDescent="0.3">
      <c r="A105" s="73">
        <v>503</v>
      </c>
      <c r="B105" t="s">
        <v>245</v>
      </c>
      <c r="C105" s="74" t="s">
        <v>144</v>
      </c>
      <c r="D105" t="s">
        <v>120</v>
      </c>
      <c r="E105" t="s">
        <v>237</v>
      </c>
      <c r="F105">
        <v>3578.27</v>
      </c>
      <c r="G105" t="s">
        <v>242</v>
      </c>
      <c r="H105">
        <v>2171.2941999999998</v>
      </c>
    </row>
    <row r="106" spans="1:8" x14ac:dyDescent="0.3">
      <c r="A106" s="73">
        <v>502</v>
      </c>
      <c r="B106" t="s">
        <v>246</v>
      </c>
      <c r="C106" s="74" t="s">
        <v>144</v>
      </c>
      <c r="D106" t="s">
        <v>120</v>
      </c>
      <c r="E106" t="s">
        <v>237</v>
      </c>
      <c r="F106">
        <v>3578.27</v>
      </c>
      <c r="G106" t="s">
        <v>242</v>
      </c>
      <c r="H106">
        <v>2171.2941999999998</v>
      </c>
    </row>
    <row r="107" spans="1:8" x14ac:dyDescent="0.3">
      <c r="A107" s="73">
        <v>501</v>
      </c>
      <c r="B107" t="s">
        <v>247</v>
      </c>
      <c r="C107" s="74" t="s">
        <v>132</v>
      </c>
      <c r="D107" t="s">
        <v>120</v>
      </c>
      <c r="E107" t="s">
        <v>186</v>
      </c>
      <c r="F107">
        <v>1457.99</v>
      </c>
      <c r="G107" t="s">
        <v>248</v>
      </c>
      <c r="H107">
        <v>884.70830000000001</v>
      </c>
    </row>
    <row r="108" spans="1:8" x14ac:dyDescent="0.3">
      <c r="A108" s="73">
        <v>500</v>
      </c>
      <c r="B108" t="s">
        <v>249</v>
      </c>
      <c r="C108" s="74" t="s">
        <v>144</v>
      </c>
      <c r="D108" t="s">
        <v>120</v>
      </c>
      <c r="E108" t="s">
        <v>237</v>
      </c>
      <c r="F108">
        <v>1457.99</v>
      </c>
      <c r="G108" t="s">
        <v>248</v>
      </c>
      <c r="H108">
        <v>884.70830000000001</v>
      </c>
    </row>
    <row r="109" spans="1:8" x14ac:dyDescent="0.3">
      <c r="A109" s="73">
        <v>499</v>
      </c>
      <c r="B109" t="s">
        <v>250</v>
      </c>
      <c r="C109" s="74" t="s">
        <v>144</v>
      </c>
      <c r="D109" t="s">
        <v>120</v>
      </c>
      <c r="E109" t="s">
        <v>237</v>
      </c>
      <c r="F109">
        <v>1457.99</v>
      </c>
      <c r="G109" t="s">
        <v>248</v>
      </c>
      <c r="H109">
        <v>884.70830000000001</v>
      </c>
    </row>
    <row r="110" spans="1:8" x14ac:dyDescent="0.3">
      <c r="A110" s="73">
        <v>498</v>
      </c>
      <c r="B110" t="s">
        <v>251</v>
      </c>
      <c r="C110" s="74" t="s">
        <v>144</v>
      </c>
      <c r="D110" t="s">
        <v>120</v>
      </c>
      <c r="E110" t="s">
        <v>237</v>
      </c>
      <c r="F110">
        <v>1457.99</v>
      </c>
      <c r="G110" t="s">
        <v>248</v>
      </c>
      <c r="H110">
        <v>884.70830000000001</v>
      </c>
    </row>
    <row r="111" spans="1:8" x14ac:dyDescent="0.3">
      <c r="A111" s="73">
        <v>497</v>
      </c>
      <c r="B111" t="s">
        <v>252</v>
      </c>
      <c r="C111" s="74" t="s">
        <v>144</v>
      </c>
      <c r="D111" t="s">
        <v>120</v>
      </c>
      <c r="E111" t="s">
        <v>237</v>
      </c>
      <c r="F111">
        <v>1457.99</v>
      </c>
      <c r="G111" t="s">
        <v>248</v>
      </c>
      <c r="H111">
        <v>884.70830000000001</v>
      </c>
    </row>
    <row r="112" spans="1:8" x14ac:dyDescent="0.3">
      <c r="A112" s="73">
        <v>496</v>
      </c>
      <c r="B112" t="s">
        <v>253</v>
      </c>
      <c r="C112" s="74" t="s">
        <v>149</v>
      </c>
      <c r="D112" t="s">
        <v>120</v>
      </c>
      <c r="E112" t="s">
        <v>237</v>
      </c>
      <c r="F112">
        <v>699.09820000000002</v>
      </c>
      <c r="G112" t="s">
        <v>254</v>
      </c>
      <c r="H112">
        <v>413.1463</v>
      </c>
    </row>
    <row r="113" spans="1:8" x14ac:dyDescent="0.3">
      <c r="A113" s="73">
        <v>495</v>
      </c>
      <c r="B113" t="s">
        <v>255</v>
      </c>
      <c r="C113" s="74" t="s">
        <v>149</v>
      </c>
      <c r="D113" t="s">
        <v>120</v>
      </c>
      <c r="E113" t="s">
        <v>237</v>
      </c>
      <c r="F113">
        <v>782.99</v>
      </c>
      <c r="G113" t="s">
        <v>254</v>
      </c>
      <c r="H113">
        <v>486.70659999999998</v>
      </c>
    </row>
    <row r="114" spans="1:8" x14ac:dyDescent="0.3">
      <c r="A114" s="73">
        <v>494</v>
      </c>
      <c r="B114" t="s">
        <v>256</v>
      </c>
      <c r="C114" s="74" t="s">
        <v>149</v>
      </c>
      <c r="D114" t="s">
        <v>120</v>
      </c>
      <c r="E114" t="s">
        <v>237</v>
      </c>
      <c r="F114">
        <v>699.09820000000002</v>
      </c>
      <c r="G114" t="s">
        <v>254</v>
      </c>
      <c r="H114">
        <v>413.1463</v>
      </c>
    </row>
    <row r="115" spans="1:8" x14ac:dyDescent="0.3">
      <c r="A115" s="73">
        <v>493</v>
      </c>
      <c r="B115" t="s">
        <v>257</v>
      </c>
      <c r="C115" s="74" t="s">
        <v>149</v>
      </c>
      <c r="D115" t="s">
        <v>120</v>
      </c>
      <c r="E115" t="s">
        <v>237</v>
      </c>
      <c r="F115">
        <v>782.99</v>
      </c>
      <c r="G115" t="s">
        <v>254</v>
      </c>
      <c r="H115">
        <v>486.70659999999998</v>
      </c>
    </row>
    <row r="116" spans="1:8" x14ac:dyDescent="0.3">
      <c r="A116" s="73">
        <v>492</v>
      </c>
      <c r="B116" t="s">
        <v>258</v>
      </c>
      <c r="C116" s="74" t="s">
        <v>149</v>
      </c>
      <c r="D116" t="s">
        <v>120</v>
      </c>
      <c r="E116" t="s">
        <v>237</v>
      </c>
      <c r="F116">
        <v>699.09820000000002</v>
      </c>
      <c r="G116" t="s">
        <v>254</v>
      </c>
      <c r="H116">
        <v>413.1463</v>
      </c>
    </row>
    <row r="117" spans="1:8" x14ac:dyDescent="0.3">
      <c r="A117" s="73">
        <v>491</v>
      </c>
      <c r="B117" t="s">
        <v>259</v>
      </c>
      <c r="C117" s="74" t="s">
        <v>149</v>
      </c>
      <c r="D117" t="s">
        <v>260</v>
      </c>
      <c r="E117" t="s">
        <v>261</v>
      </c>
      <c r="F117">
        <v>782.99</v>
      </c>
      <c r="G117" t="s">
        <v>254</v>
      </c>
      <c r="H117">
        <v>486.70659999999998</v>
      </c>
    </row>
    <row r="118" spans="1:8" x14ac:dyDescent="0.3">
      <c r="A118" s="73">
        <v>490</v>
      </c>
      <c r="B118" t="s">
        <v>262</v>
      </c>
      <c r="C118" s="74" t="s">
        <v>149</v>
      </c>
      <c r="D118" t="s">
        <v>260</v>
      </c>
      <c r="E118" t="s">
        <v>261</v>
      </c>
      <c r="F118">
        <v>699.09820000000002</v>
      </c>
      <c r="G118" t="s">
        <v>254</v>
      </c>
      <c r="H118">
        <v>413.1463</v>
      </c>
    </row>
    <row r="119" spans="1:8" x14ac:dyDescent="0.3">
      <c r="A119" s="73">
        <v>489</v>
      </c>
      <c r="B119" t="s">
        <v>263</v>
      </c>
      <c r="C119" s="74" t="s">
        <v>149</v>
      </c>
      <c r="D119" t="s">
        <v>260</v>
      </c>
      <c r="E119" t="s">
        <v>261</v>
      </c>
      <c r="F119">
        <v>782.99</v>
      </c>
      <c r="G119" t="s">
        <v>254</v>
      </c>
      <c r="H119">
        <v>486.70659999999998</v>
      </c>
    </row>
    <row r="120" spans="1:8" x14ac:dyDescent="0.3">
      <c r="A120" s="73">
        <v>488</v>
      </c>
      <c r="B120" t="s">
        <v>264</v>
      </c>
      <c r="C120" s="74" t="s">
        <v>149</v>
      </c>
      <c r="D120" t="s">
        <v>260</v>
      </c>
      <c r="E120" t="s">
        <v>261</v>
      </c>
      <c r="F120">
        <v>699.09820000000002</v>
      </c>
      <c r="G120" t="s">
        <v>254</v>
      </c>
      <c r="H120">
        <v>413.1463</v>
      </c>
    </row>
    <row r="121" spans="1:8" x14ac:dyDescent="0.3">
      <c r="A121" s="73">
        <v>487</v>
      </c>
      <c r="B121" t="s">
        <v>265</v>
      </c>
      <c r="C121" s="74" t="s">
        <v>132</v>
      </c>
      <c r="D121" t="s">
        <v>202</v>
      </c>
      <c r="E121" t="s">
        <v>266</v>
      </c>
      <c r="F121">
        <v>782.99</v>
      </c>
      <c r="G121" t="s">
        <v>254</v>
      </c>
      <c r="H121">
        <v>486.70659999999998</v>
      </c>
    </row>
    <row r="122" spans="1:8" x14ac:dyDescent="0.3">
      <c r="A122" s="73">
        <v>486</v>
      </c>
      <c r="B122" t="s">
        <v>267</v>
      </c>
      <c r="C122" s="74" t="s">
        <v>119</v>
      </c>
      <c r="D122" t="s">
        <v>202</v>
      </c>
      <c r="E122" t="s">
        <v>268</v>
      </c>
      <c r="F122">
        <v>699.09820000000002</v>
      </c>
      <c r="G122" t="s">
        <v>254</v>
      </c>
      <c r="H122">
        <v>413.1463</v>
      </c>
    </row>
    <row r="123" spans="1:8" x14ac:dyDescent="0.3">
      <c r="A123" s="73">
        <v>485</v>
      </c>
      <c r="B123" t="s">
        <v>269</v>
      </c>
      <c r="C123" s="74" t="s">
        <v>119</v>
      </c>
      <c r="D123" t="s">
        <v>202</v>
      </c>
      <c r="E123" t="s">
        <v>270</v>
      </c>
      <c r="F123">
        <v>782.99</v>
      </c>
      <c r="G123" t="s">
        <v>254</v>
      </c>
      <c r="H123">
        <v>486.70659999999998</v>
      </c>
    </row>
    <row r="124" spans="1:8" x14ac:dyDescent="0.3">
      <c r="A124" s="73">
        <v>484</v>
      </c>
      <c r="B124" t="s">
        <v>271</v>
      </c>
      <c r="C124" s="74" t="s">
        <v>119</v>
      </c>
      <c r="D124" t="s">
        <v>202</v>
      </c>
      <c r="E124" t="s">
        <v>272</v>
      </c>
      <c r="F124">
        <v>699.09820000000002</v>
      </c>
      <c r="G124" t="s">
        <v>254</v>
      </c>
      <c r="H124">
        <v>413.1463</v>
      </c>
    </row>
    <row r="125" spans="1:8" x14ac:dyDescent="0.3">
      <c r="A125" s="73">
        <v>483</v>
      </c>
      <c r="B125" t="s">
        <v>273</v>
      </c>
      <c r="C125" s="74" t="s">
        <v>119</v>
      </c>
      <c r="D125" t="s">
        <v>202</v>
      </c>
      <c r="E125" t="s">
        <v>274</v>
      </c>
      <c r="F125">
        <v>782.99</v>
      </c>
      <c r="G125" t="s">
        <v>254</v>
      </c>
      <c r="H125">
        <v>486.70659999999998</v>
      </c>
    </row>
    <row r="126" spans="1:8" x14ac:dyDescent="0.3">
      <c r="A126" s="73">
        <v>482</v>
      </c>
      <c r="B126" t="s">
        <v>275</v>
      </c>
      <c r="C126" s="74" t="s">
        <v>276</v>
      </c>
      <c r="D126" t="s">
        <v>260</v>
      </c>
      <c r="E126" t="s">
        <v>277</v>
      </c>
      <c r="F126">
        <v>699.09820000000002</v>
      </c>
      <c r="G126" t="s">
        <v>254</v>
      </c>
      <c r="H126">
        <v>413.1463</v>
      </c>
    </row>
    <row r="127" spans="1:8" x14ac:dyDescent="0.3">
      <c r="A127" s="73">
        <v>481</v>
      </c>
      <c r="B127" t="s">
        <v>278</v>
      </c>
      <c r="C127" s="74" t="s">
        <v>276</v>
      </c>
      <c r="D127" t="s">
        <v>260</v>
      </c>
      <c r="E127" t="s">
        <v>277</v>
      </c>
      <c r="F127">
        <v>782.99</v>
      </c>
      <c r="G127" t="s">
        <v>254</v>
      </c>
      <c r="H127">
        <v>486.70659999999998</v>
      </c>
    </row>
    <row r="128" spans="1:8" x14ac:dyDescent="0.3">
      <c r="A128" s="73">
        <v>480</v>
      </c>
      <c r="B128" t="s">
        <v>279</v>
      </c>
      <c r="C128" s="74" t="s">
        <v>119</v>
      </c>
      <c r="D128" t="s">
        <v>202</v>
      </c>
      <c r="E128" t="s">
        <v>203</v>
      </c>
      <c r="F128">
        <v>699.09820000000002</v>
      </c>
      <c r="G128" t="s">
        <v>254</v>
      </c>
      <c r="H128">
        <v>413.1463</v>
      </c>
    </row>
    <row r="129" spans="1:8" x14ac:dyDescent="0.3">
      <c r="A129" s="73">
        <v>479</v>
      </c>
      <c r="B129" t="s">
        <v>280</v>
      </c>
      <c r="C129" s="74" t="s">
        <v>119</v>
      </c>
      <c r="D129" t="s">
        <v>202</v>
      </c>
      <c r="E129" t="s">
        <v>281</v>
      </c>
      <c r="F129">
        <v>782.99</v>
      </c>
      <c r="G129" t="s">
        <v>254</v>
      </c>
      <c r="H129">
        <v>486.70659999999998</v>
      </c>
    </row>
    <row r="130" spans="1:8" x14ac:dyDescent="0.3">
      <c r="A130" s="73">
        <v>478</v>
      </c>
      <c r="B130" t="s">
        <v>282</v>
      </c>
      <c r="C130" s="74" t="s">
        <v>119</v>
      </c>
      <c r="D130" t="s">
        <v>202</v>
      </c>
      <c r="E130" t="s">
        <v>281</v>
      </c>
      <c r="F130">
        <v>699.09820000000002</v>
      </c>
      <c r="G130" t="s">
        <v>254</v>
      </c>
      <c r="H130">
        <v>413.1463</v>
      </c>
    </row>
    <row r="131" spans="1:8" x14ac:dyDescent="0.3">
      <c r="A131" s="73">
        <v>477</v>
      </c>
      <c r="B131" t="s">
        <v>283</v>
      </c>
      <c r="C131" s="74" t="s">
        <v>119</v>
      </c>
      <c r="D131" t="s">
        <v>202</v>
      </c>
      <c r="E131" t="s">
        <v>281</v>
      </c>
      <c r="F131">
        <v>782.99</v>
      </c>
      <c r="G131" t="s">
        <v>254</v>
      </c>
      <c r="H131">
        <v>486.70659999999998</v>
      </c>
    </row>
    <row r="132" spans="1:8" x14ac:dyDescent="0.3">
      <c r="A132" s="73">
        <v>476</v>
      </c>
      <c r="B132" t="s">
        <v>284</v>
      </c>
      <c r="C132" s="74" t="s">
        <v>111</v>
      </c>
      <c r="D132" t="s">
        <v>260</v>
      </c>
      <c r="E132" t="s">
        <v>285</v>
      </c>
      <c r="F132">
        <v>699.09820000000002</v>
      </c>
      <c r="G132" t="s">
        <v>254</v>
      </c>
      <c r="H132">
        <v>413.1463</v>
      </c>
    </row>
    <row r="133" spans="1:8" x14ac:dyDescent="0.3">
      <c r="A133" s="73">
        <v>475</v>
      </c>
      <c r="B133" t="s">
        <v>286</v>
      </c>
      <c r="C133" s="74" t="s">
        <v>111</v>
      </c>
      <c r="D133" t="s">
        <v>260</v>
      </c>
      <c r="E133" t="s">
        <v>285</v>
      </c>
      <c r="F133">
        <v>782.99</v>
      </c>
      <c r="G133" t="s">
        <v>254</v>
      </c>
      <c r="H133">
        <v>486.70659999999998</v>
      </c>
    </row>
    <row r="134" spans="1:8" x14ac:dyDescent="0.3">
      <c r="A134" s="73">
        <v>474</v>
      </c>
      <c r="B134" t="s">
        <v>287</v>
      </c>
      <c r="C134" s="74" t="s">
        <v>111</v>
      </c>
      <c r="D134" t="s">
        <v>260</v>
      </c>
      <c r="E134" t="s">
        <v>285</v>
      </c>
      <c r="F134">
        <v>699.09820000000002</v>
      </c>
      <c r="G134" t="s">
        <v>254</v>
      </c>
      <c r="H134">
        <v>413.1463</v>
      </c>
    </row>
    <row r="135" spans="1:8" x14ac:dyDescent="0.3">
      <c r="A135" s="73">
        <v>473</v>
      </c>
      <c r="B135" t="s">
        <v>288</v>
      </c>
      <c r="C135" s="74" t="s">
        <v>144</v>
      </c>
      <c r="D135" t="s">
        <v>260</v>
      </c>
      <c r="E135" t="s">
        <v>289</v>
      </c>
      <c r="F135">
        <v>782.99</v>
      </c>
      <c r="G135" t="s">
        <v>254</v>
      </c>
      <c r="H135">
        <v>486.70659999999998</v>
      </c>
    </row>
    <row r="136" spans="1:8" x14ac:dyDescent="0.3">
      <c r="A136" s="73">
        <v>472</v>
      </c>
      <c r="B136" t="s">
        <v>290</v>
      </c>
      <c r="C136" s="74" t="s">
        <v>144</v>
      </c>
      <c r="D136" t="s">
        <v>260</v>
      </c>
      <c r="E136" t="s">
        <v>289</v>
      </c>
      <c r="F136">
        <v>3399.99</v>
      </c>
      <c r="G136" t="s">
        <v>291</v>
      </c>
      <c r="H136">
        <v>1912.1543999999999</v>
      </c>
    </row>
    <row r="137" spans="1:8" x14ac:dyDescent="0.3">
      <c r="A137" s="73">
        <v>471</v>
      </c>
      <c r="B137" t="s">
        <v>292</v>
      </c>
      <c r="C137" s="74" t="s">
        <v>144</v>
      </c>
      <c r="D137" t="s">
        <v>260</v>
      </c>
      <c r="E137" t="s">
        <v>289</v>
      </c>
      <c r="F137">
        <v>3399.99</v>
      </c>
      <c r="G137" t="s">
        <v>291</v>
      </c>
      <c r="H137">
        <v>1912.1543999999999</v>
      </c>
    </row>
    <row r="138" spans="1:8" x14ac:dyDescent="0.3">
      <c r="A138" s="73">
        <v>470</v>
      </c>
      <c r="B138" t="s">
        <v>293</v>
      </c>
      <c r="C138" s="74" t="s">
        <v>111</v>
      </c>
      <c r="D138" t="s">
        <v>260</v>
      </c>
      <c r="E138" t="s">
        <v>294</v>
      </c>
      <c r="F138">
        <v>3399.99</v>
      </c>
      <c r="G138" t="s">
        <v>291</v>
      </c>
      <c r="H138">
        <v>1912.1543999999999</v>
      </c>
    </row>
    <row r="139" spans="1:8" x14ac:dyDescent="0.3">
      <c r="A139" s="73">
        <v>469</v>
      </c>
      <c r="B139" t="s">
        <v>295</v>
      </c>
      <c r="C139" s="74" t="s">
        <v>111</v>
      </c>
      <c r="D139" t="s">
        <v>260</v>
      </c>
      <c r="E139" t="s">
        <v>294</v>
      </c>
      <c r="F139">
        <v>3399.99</v>
      </c>
      <c r="G139" t="s">
        <v>291</v>
      </c>
      <c r="H139">
        <v>1912.1543999999999</v>
      </c>
    </row>
    <row r="140" spans="1:8" x14ac:dyDescent="0.3">
      <c r="A140" s="73">
        <v>468</v>
      </c>
      <c r="B140" t="s">
        <v>296</v>
      </c>
      <c r="C140" s="74" t="s">
        <v>111</v>
      </c>
      <c r="D140" t="s">
        <v>260</v>
      </c>
      <c r="E140" t="s">
        <v>294</v>
      </c>
      <c r="F140">
        <v>3374.99</v>
      </c>
      <c r="G140" t="s">
        <v>291</v>
      </c>
      <c r="H140">
        <v>1898.0944</v>
      </c>
    </row>
    <row r="141" spans="1:8" x14ac:dyDescent="0.3">
      <c r="A141" s="73">
        <v>467</v>
      </c>
      <c r="B141" t="s">
        <v>297</v>
      </c>
      <c r="C141" s="74" t="s">
        <v>111</v>
      </c>
      <c r="D141" t="s">
        <v>260</v>
      </c>
      <c r="E141" t="s">
        <v>294</v>
      </c>
      <c r="F141">
        <v>3374.99</v>
      </c>
      <c r="G141" t="s">
        <v>291</v>
      </c>
      <c r="H141">
        <v>1898.0944</v>
      </c>
    </row>
    <row r="142" spans="1:8" x14ac:dyDescent="0.3">
      <c r="A142" s="73">
        <v>466</v>
      </c>
      <c r="B142" t="s">
        <v>297</v>
      </c>
      <c r="C142" s="74" t="s">
        <v>111</v>
      </c>
      <c r="D142" t="s">
        <v>260</v>
      </c>
      <c r="E142" t="s">
        <v>294</v>
      </c>
      <c r="F142">
        <v>3374.99</v>
      </c>
      <c r="G142" t="s">
        <v>291</v>
      </c>
      <c r="H142">
        <v>1898.0944</v>
      </c>
    </row>
    <row r="143" spans="1:8" x14ac:dyDescent="0.3">
      <c r="A143" s="73">
        <v>465</v>
      </c>
      <c r="B143" t="s">
        <v>298</v>
      </c>
      <c r="C143" s="74" t="s">
        <v>111</v>
      </c>
      <c r="D143" t="s">
        <v>260</v>
      </c>
      <c r="E143" t="s">
        <v>294</v>
      </c>
      <c r="F143">
        <v>3374.99</v>
      </c>
      <c r="G143" t="s">
        <v>291</v>
      </c>
      <c r="H143">
        <v>1898.0944</v>
      </c>
    </row>
    <row r="144" spans="1:8" x14ac:dyDescent="0.3">
      <c r="A144" s="73">
        <v>464</v>
      </c>
      <c r="B144" t="s">
        <v>298</v>
      </c>
      <c r="C144" s="74" t="s">
        <v>111</v>
      </c>
      <c r="D144" t="s">
        <v>260</v>
      </c>
      <c r="E144" t="s">
        <v>294</v>
      </c>
      <c r="F144">
        <v>2071.4196000000002</v>
      </c>
      <c r="G144" t="s">
        <v>299</v>
      </c>
      <c r="H144">
        <v>1117.8559</v>
      </c>
    </row>
    <row r="145" spans="1:8" x14ac:dyDescent="0.3">
      <c r="A145" s="73">
        <v>463</v>
      </c>
      <c r="B145" t="s">
        <v>300</v>
      </c>
      <c r="C145" s="74" t="s">
        <v>111</v>
      </c>
      <c r="D145" t="s">
        <v>260</v>
      </c>
      <c r="E145" t="s">
        <v>294</v>
      </c>
      <c r="F145">
        <v>2319.9899999999998</v>
      </c>
      <c r="G145" t="s">
        <v>299</v>
      </c>
      <c r="H145">
        <v>1265.6195</v>
      </c>
    </row>
    <row r="146" spans="1:8" x14ac:dyDescent="0.3">
      <c r="A146" s="73">
        <v>462</v>
      </c>
      <c r="B146" t="s">
        <v>300</v>
      </c>
      <c r="C146" s="74" t="s">
        <v>111</v>
      </c>
      <c r="D146" t="s">
        <v>260</v>
      </c>
      <c r="E146" t="s">
        <v>294</v>
      </c>
      <c r="F146">
        <v>2071.4196000000002</v>
      </c>
      <c r="G146" t="s">
        <v>299</v>
      </c>
      <c r="H146">
        <v>1117.8559</v>
      </c>
    </row>
    <row r="147" spans="1:8" x14ac:dyDescent="0.3">
      <c r="A147" s="73">
        <v>461</v>
      </c>
      <c r="B147" t="s">
        <v>301</v>
      </c>
      <c r="C147" s="74" t="s">
        <v>302</v>
      </c>
      <c r="D147" t="s">
        <v>260</v>
      </c>
      <c r="E147" t="s">
        <v>303</v>
      </c>
      <c r="F147">
        <v>2319.9899999999998</v>
      </c>
      <c r="G147" t="s">
        <v>299</v>
      </c>
      <c r="H147">
        <v>1265.6195</v>
      </c>
    </row>
    <row r="148" spans="1:8" x14ac:dyDescent="0.3">
      <c r="A148" s="73">
        <v>460</v>
      </c>
      <c r="B148" t="s">
        <v>304</v>
      </c>
      <c r="C148" s="74" t="s">
        <v>302</v>
      </c>
      <c r="D148" t="s">
        <v>260</v>
      </c>
      <c r="E148" t="s">
        <v>303</v>
      </c>
      <c r="F148">
        <v>2071.4196000000002</v>
      </c>
      <c r="G148" t="s">
        <v>299</v>
      </c>
      <c r="H148">
        <v>1117.8559</v>
      </c>
    </row>
    <row r="149" spans="1:8" x14ac:dyDescent="0.3">
      <c r="A149" s="73">
        <v>459</v>
      </c>
      <c r="B149" t="s">
        <v>305</v>
      </c>
      <c r="C149" s="74" t="s">
        <v>302</v>
      </c>
      <c r="D149" t="s">
        <v>260</v>
      </c>
      <c r="E149" t="s">
        <v>303</v>
      </c>
      <c r="F149">
        <v>2319.9899999999998</v>
      </c>
      <c r="G149" t="s">
        <v>299</v>
      </c>
      <c r="H149">
        <v>1265.6195</v>
      </c>
    </row>
    <row r="150" spans="1:8" x14ac:dyDescent="0.3">
      <c r="A150" s="73">
        <v>458</v>
      </c>
      <c r="B150" t="s">
        <v>306</v>
      </c>
      <c r="C150" s="74" t="s">
        <v>111</v>
      </c>
      <c r="D150" t="s">
        <v>260</v>
      </c>
      <c r="E150" t="s">
        <v>307</v>
      </c>
      <c r="F150">
        <v>2049.0981999999999</v>
      </c>
      <c r="G150" t="s">
        <v>299</v>
      </c>
      <c r="H150">
        <v>1105.81</v>
      </c>
    </row>
    <row r="151" spans="1:8" x14ac:dyDescent="0.3">
      <c r="A151" s="73">
        <v>457</v>
      </c>
      <c r="B151" t="s">
        <v>308</v>
      </c>
      <c r="C151" s="74" t="s">
        <v>111</v>
      </c>
      <c r="D151" t="s">
        <v>260</v>
      </c>
      <c r="E151" t="s">
        <v>307</v>
      </c>
      <c r="F151">
        <v>2294.9899999999998</v>
      </c>
      <c r="G151" t="s">
        <v>299</v>
      </c>
      <c r="H151">
        <v>1251.9812999999999</v>
      </c>
    </row>
    <row r="152" spans="1:8" x14ac:dyDescent="0.3">
      <c r="A152" s="73">
        <v>456</v>
      </c>
      <c r="B152" t="s">
        <v>309</v>
      </c>
      <c r="C152" s="74" t="s">
        <v>111</v>
      </c>
      <c r="D152" t="s">
        <v>260</v>
      </c>
      <c r="E152" t="s">
        <v>307</v>
      </c>
      <c r="F152">
        <v>2049.0981999999999</v>
      </c>
      <c r="G152" t="s">
        <v>299</v>
      </c>
      <c r="H152">
        <v>1105.81</v>
      </c>
    </row>
    <row r="153" spans="1:8" x14ac:dyDescent="0.3">
      <c r="A153" s="73">
        <v>455</v>
      </c>
      <c r="B153" t="s">
        <v>310</v>
      </c>
      <c r="C153" s="74" t="s">
        <v>111</v>
      </c>
      <c r="D153" t="s">
        <v>260</v>
      </c>
      <c r="E153" t="s">
        <v>285</v>
      </c>
      <c r="F153">
        <v>2294.9899999999998</v>
      </c>
      <c r="G153" t="s">
        <v>299</v>
      </c>
      <c r="H153">
        <v>1251.9812999999999</v>
      </c>
    </row>
    <row r="154" spans="1:8" x14ac:dyDescent="0.3">
      <c r="A154" s="73">
        <v>454</v>
      </c>
      <c r="B154" t="s">
        <v>311</v>
      </c>
      <c r="C154" s="74" t="s">
        <v>111</v>
      </c>
      <c r="D154" t="s">
        <v>260</v>
      </c>
      <c r="E154" t="s">
        <v>285</v>
      </c>
      <c r="F154">
        <v>2049.0981999999999</v>
      </c>
      <c r="G154" t="s">
        <v>299</v>
      </c>
      <c r="H154">
        <v>1105.81</v>
      </c>
    </row>
    <row r="155" spans="1:8" x14ac:dyDescent="0.3">
      <c r="A155" s="73">
        <v>453</v>
      </c>
      <c r="B155" t="s">
        <v>312</v>
      </c>
      <c r="C155" s="74" t="s">
        <v>111</v>
      </c>
      <c r="D155" t="s">
        <v>260</v>
      </c>
      <c r="E155" t="s">
        <v>285</v>
      </c>
      <c r="F155">
        <v>2294.9899999999998</v>
      </c>
      <c r="G155" t="s">
        <v>299</v>
      </c>
      <c r="H155">
        <v>1251.9812999999999</v>
      </c>
    </row>
    <row r="156" spans="1:8" x14ac:dyDescent="0.3">
      <c r="A156" s="73">
        <v>452</v>
      </c>
      <c r="B156" t="s">
        <v>313</v>
      </c>
      <c r="C156" s="74" t="s">
        <v>119</v>
      </c>
      <c r="D156" t="s">
        <v>202</v>
      </c>
      <c r="E156" t="s">
        <v>314</v>
      </c>
      <c r="F156">
        <v>1079.99</v>
      </c>
      <c r="G156" t="s">
        <v>315</v>
      </c>
      <c r="H156">
        <v>598.43539999999996</v>
      </c>
    </row>
    <row r="157" spans="1:8" x14ac:dyDescent="0.3">
      <c r="A157" s="73">
        <v>451</v>
      </c>
      <c r="B157" t="s">
        <v>316</v>
      </c>
      <c r="C157" s="74" t="s">
        <v>119</v>
      </c>
      <c r="D157" t="s">
        <v>202</v>
      </c>
      <c r="E157" t="s">
        <v>314</v>
      </c>
      <c r="F157">
        <v>1079.99</v>
      </c>
      <c r="G157" t="s">
        <v>315</v>
      </c>
      <c r="H157">
        <v>598.43539999999996</v>
      </c>
    </row>
    <row r="158" spans="1:8" x14ac:dyDescent="0.3">
      <c r="A158" s="73">
        <v>450</v>
      </c>
      <c r="B158" t="s">
        <v>317</v>
      </c>
      <c r="C158" s="74" t="s">
        <v>119</v>
      </c>
      <c r="D158" t="s">
        <v>202</v>
      </c>
      <c r="E158" t="s">
        <v>314</v>
      </c>
      <c r="F158">
        <v>1079.99</v>
      </c>
      <c r="G158" t="s">
        <v>315</v>
      </c>
      <c r="H158">
        <v>598.43539999999996</v>
      </c>
    </row>
    <row r="159" spans="1:8" x14ac:dyDescent="0.3">
      <c r="A159" s="73">
        <v>449</v>
      </c>
      <c r="B159" t="s">
        <v>318</v>
      </c>
      <c r="C159" s="74" t="s">
        <v>119</v>
      </c>
      <c r="D159" t="s">
        <v>202</v>
      </c>
      <c r="E159" t="s">
        <v>319</v>
      </c>
      <c r="F159">
        <v>1079.99</v>
      </c>
      <c r="G159" t="s">
        <v>315</v>
      </c>
      <c r="H159">
        <v>598.43539999999996</v>
      </c>
    </row>
    <row r="160" spans="1:8" x14ac:dyDescent="0.3">
      <c r="A160" s="73">
        <v>448</v>
      </c>
      <c r="B160" t="s">
        <v>320</v>
      </c>
      <c r="C160" s="74" t="s">
        <v>119</v>
      </c>
      <c r="D160" t="s">
        <v>202</v>
      </c>
      <c r="E160" t="s">
        <v>319</v>
      </c>
      <c r="F160">
        <v>2443.35</v>
      </c>
      <c r="G160" t="s">
        <v>321</v>
      </c>
      <c r="H160">
        <v>1518.7864</v>
      </c>
    </row>
    <row r="161" spans="1:8" x14ac:dyDescent="0.3">
      <c r="A161" s="73">
        <v>447</v>
      </c>
      <c r="B161" t="s">
        <v>322</v>
      </c>
      <c r="C161" s="74" t="s">
        <v>119</v>
      </c>
      <c r="D161" t="s">
        <v>202</v>
      </c>
      <c r="E161" t="s">
        <v>323</v>
      </c>
      <c r="F161">
        <v>2443.35</v>
      </c>
      <c r="G161" t="s">
        <v>321</v>
      </c>
      <c r="H161">
        <v>1518.7864</v>
      </c>
    </row>
    <row r="162" spans="1:8" x14ac:dyDescent="0.3">
      <c r="A162" s="73">
        <v>446</v>
      </c>
      <c r="B162" t="s">
        <v>324</v>
      </c>
      <c r="C162" s="74" t="s">
        <v>325</v>
      </c>
      <c r="D162" t="s">
        <v>202</v>
      </c>
      <c r="E162" t="s">
        <v>326</v>
      </c>
      <c r="F162">
        <v>2443.35</v>
      </c>
      <c r="G162" t="s">
        <v>321</v>
      </c>
      <c r="H162">
        <v>1518.7864</v>
      </c>
    </row>
    <row r="163" spans="1:8" x14ac:dyDescent="0.3">
      <c r="A163" s="73">
        <v>445</v>
      </c>
      <c r="B163" t="s">
        <v>327</v>
      </c>
      <c r="C163" s="74" t="s">
        <v>111</v>
      </c>
      <c r="D163" t="s">
        <v>260</v>
      </c>
      <c r="E163" t="s">
        <v>285</v>
      </c>
      <c r="F163">
        <v>2181.5625</v>
      </c>
      <c r="G163" t="s">
        <v>321</v>
      </c>
      <c r="H163">
        <v>1320.6838</v>
      </c>
    </row>
    <row r="164" spans="1:8" x14ac:dyDescent="0.3">
      <c r="A164" s="73">
        <v>444</v>
      </c>
      <c r="B164" t="s">
        <v>328</v>
      </c>
      <c r="C164" s="74" t="s">
        <v>111</v>
      </c>
      <c r="D164" t="s">
        <v>120</v>
      </c>
      <c r="E164" t="s">
        <v>329</v>
      </c>
      <c r="F164">
        <v>2443.35</v>
      </c>
      <c r="G164" t="s">
        <v>321</v>
      </c>
      <c r="H164">
        <v>1554.9478999999999</v>
      </c>
    </row>
    <row r="165" spans="1:8" x14ac:dyDescent="0.3">
      <c r="A165" s="73">
        <v>443</v>
      </c>
      <c r="B165" t="s">
        <v>328</v>
      </c>
      <c r="C165" s="74" t="s">
        <v>111</v>
      </c>
      <c r="D165" t="s">
        <v>120</v>
      </c>
      <c r="E165" t="s">
        <v>329</v>
      </c>
      <c r="F165">
        <v>2181.5625</v>
      </c>
      <c r="G165" t="s">
        <v>321</v>
      </c>
      <c r="H165">
        <v>1320.6838</v>
      </c>
    </row>
    <row r="166" spans="1:8" x14ac:dyDescent="0.3">
      <c r="A166" s="73">
        <v>442</v>
      </c>
      <c r="B166" t="s">
        <v>330</v>
      </c>
      <c r="C166" s="74" t="s">
        <v>111</v>
      </c>
      <c r="D166" t="s">
        <v>120</v>
      </c>
      <c r="E166" t="s">
        <v>329</v>
      </c>
      <c r="F166">
        <v>2443.35</v>
      </c>
      <c r="G166" t="s">
        <v>321</v>
      </c>
      <c r="H166">
        <v>1554.9478999999999</v>
      </c>
    </row>
    <row r="167" spans="1:8" x14ac:dyDescent="0.3">
      <c r="A167" s="73">
        <v>441</v>
      </c>
      <c r="B167" t="s">
        <v>330</v>
      </c>
      <c r="C167" s="74" t="s">
        <v>111</v>
      </c>
      <c r="D167" t="s">
        <v>120</v>
      </c>
      <c r="E167" t="s">
        <v>329</v>
      </c>
      <c r="F167">
        <v>2181.5625</v>
      </c>
      <c r="G167" t="s">
        <v>321</v>
      </c>
      <c r="H167">
        <v>1320.6838</v>
      </c>
    </row>
    <row r="168" spans="1:8" x14ac:dyDescent="0.3">
      <c r="A168" s="73">
        <v>440</v>
      </c>
      <c r="B168" t="s">
        <v>331</v>
      </c>
      <c r="C168" s="74" t="s">
        <v>111</v>
      </c>
      <c r="D168" t="s">
        <v>120</v>
      </c>
      <c r="E168" t="s">
        <v>329</v>
      </c>
      <c r="F168">
        <v>2443.35</v>
      </c>
      <c r="G168" t="s">
        <v>321</v>
      </c>
      <c r="H168">
        <v>1554.9478999999999</v>
      </c>
    </row>
    <row r="169" spans="1:8" x14ac:dyDescent="0.3">
      <c r="A169" s="73">
        <v>439</v>
      </c>
      <c r="B169" t="s">
        <v>331</v>
      </c>
      <c r="C169" s="74" t="s">
        <v>111</v>
      </c>
      <c r="D169" t="s">
        <v>120</v>
      </c>
      <c r="E169" t="s">
        <v>329</v>
      </c>
      <c r="F169">
        <v>2181.5625</v>
      </c>
      <c r="G169" t="s">
        <v>321</v>
      </c>
      <c r="H169">
        <v>1320.6838</v>
      </c>
    </row>
    <row r="170" spans="1:8" x14ac:dyDescent="0.3">
      <c r="A170" s="73">
        <v>438</v>
      </c>
      <c r="B170" t="s">
        <v>332</v>
      </c>
      <c r="C170" s="74" t="s">
        <v>111</v>
      </c>
      <c r="D170" t="s">
        <v>120</v>
      </c>
      <c r="E170" t="s">
        <v>329</v>
      </c>
      <c r="F170">
        <v>2443.35</v>
      </c>
      <c r="G170" t="s">
        <v>321</v>
      </c>
      <c r="H170">
        <v>1554.9478999999999</v>
      </c>
    </row>
    <row r="171" spans="1:8" x14ac:dyDescent="0.3">
      <c r="A171" s="73">
        <v>437</v>
      </c>
      <c r="B171" t="s">
        <v>332</v>
      </c>
      <c r="C171" s="74" t="s">
        <v>111</v>
      </c>
      <c r="D171" t="s">
        <v>120</v>
      </c>
      <c r="E171" t="s">
        <v>329</v>
      </c>
      <c r="F171">
        <v>2181.5625</v>
      </c>
      <c r="G171" t="s">
        <v>321</v>
      </c>
      <c r="H171">
        <v>1320.6838</v>
      </c>
    </row>
    <row r="172" spans="1:8" x14ac:dyDescent="0.3">
      <c r="A172" s="73">
        <v>436</v>
      </c>
      <c r="B172" t="s">
        <v>333</v>
      </c>
      <c r="C172" s="74" t="s">
        <v>149</v>
      </c>
      <c r="D172" t="s">
        <v>120</v>
      </c>
      <c r="E172" t="s">
        <v>329</v>
      </c>
      <c r="F172">
        <v>2443.35</v>
      </c>
      <c r="G172" t="s">
        <v>321</v>
      </c>
      <c r="H172">
        <v>1554.9478999999999</v>
      </c>
    </row>
    <row r="173" spans="1:8" x14ac:dyDescent="0.3">
      <c r="A173" s="73">
        <v>435</v>
      </c>
      <c r="B173" t="s">
        <v>333</v>
      </c>
      <c r="C173" s="74" t="s">
        <v>149</v>
      </c>
      <c r="D173" t="s">
        <v>120</v>
      </c>
      <c r="E173" t="s">
        <v>329</v>
      </c>
      <c r="F173">
        <v>1000.4375</v>
      </c>
      <c r="G173" t="s">
        <v>334</v>
      </c>
      <c r="H173">
        <v>605.64919999999995</v>
      </c>
    </row>
    <row r="174" spans="1:8" x14ac:dyDescent="0.3">
      <c r="A174" s="73">
        <v>434</v>
      </c>
      <c r="B174" t="s">
        <v>335</v>
      </c>
      <c r="C174" s="74" t="s">
        <v>149</v>
      </c>
      <c r="D174" t="s">
        <v>120</v>
      </c>
      <c r="E174" t="s">
        <v>329</v>
      </c>
      <c r="F174">
        <v>1120.49</v>
      </c>
      <c r="G174" t="s">
        <v>334</v>
      </c>
      <c r="H174">
        <v>713.07979999999998</v>
      </c>
    </row>
    <row r="175" spans="1:8" x14ac:dyDescent="0.3">
      <c r="A175" s="73">
        <v>433</v>
      </c>
      <c r="B175" t="s">
        <v>335</v>
      </c>
      <c r="C175" s="74" t="s">
        <v>149</v>
      </c>
      <c r="D175" t="s">
        <v>120</v>
      </c>
      <c r="E175" t="s">
        <v>329</v>
      </c>
      <c r="F175">
        <v>1000.4375</v>
      </c>
      <c r="G175" t="s">
        <v>334</v>
      </c>
      <c r="H175">
        <v>605.64919999999995</v>
      </c>
    </row>
    <row r="176" spans="1:8" x14ac:dyDescent="0.3">
      <c r="A176" s="73">
        <v>432</v>
      </c>
      <c r="B176" t="s">
        <v>336</v>
      </c>
      <c r="C176" s="74" t="s">
        <v>149</v>
      </c>
      <c r="D176" t="s">
        <v>120</v>
      </c>
      <c r="E176" t="s">
        <v>329</v>
      </c>
      <c r="F176">
        <v>1120.49</v>
      </c>
      <c r="G176" t="s">
        <v>334</v>
      </c>
      <c r="H176">
        <v>713.07979999999998</v>
      </c>
    </row>
    <row r="177" spans="1:8" x14ac:dyDescent="0.3">
      <c r="A177" s="73">
        <v>431</v>
      </c>
      <c r="B177" t="s">
        <v>336</v>
      </c>
      <c r="C177" s="74" t="s">
        <v>149</v>
      </c>
      <c r="D177" t="s">
        <v>120</v>
      </c>
      <c r="E177" t="s">
        <v>329</v>
      </c>
      <c r="F177">
        <v>1000.4375</v>
      </c>
      <c r="G177" t="s">
        <v>334</v>
      </c>
      <c r="H177">
        <v>605.64919999999995</v>
      </c>
    </row>
    <row r="178" spans="1:8" x14ac:dyDescent="0.3">
      <c r="A178" s="73">
        <v>430</v>
      </c>
      <c r="B178" t="s">
        <v>337</v>
      </c>
      <c r="C178" s="74" t="s">
        <v>149</v>
      </c>
      <c r="D178" t="s">
        <v>120</v>
      </c>
      <c r="E178" t="s">
        <v>329</v>
      </c>
      <c r="F178">
        <v>1120.49</v>
      </c>
      <c r="G178" t="s">
        <v>334</v>
      </c>
      <c r="H178">
        <v>713.07979999999998</v>
      </c>
    </row>
    <row r="179" spans="1:8" x14ac:dyDescent="0.3">
      <c r="A179" s="73">
        <v>429</v>
      </c>
      <c r="B179" t="s">
        <v>337</v>
      </c>
      <c r="C179" s="74" t="s">
        <v>149</v>
      </c>
      <c r="D179" t="s">
        <v>120</v>
      </c>
      <c r="E179" t="s">
        <v>329</v>
      </c>
      <c r="F179">
        <v>1000.4375</v>
      </c>
      <c r="G179" t="s">
        <v>334</v>
      </c>
      <c r="H179">
        <v>605.64919999999995</v>
      </c>
    </row>
    <row r="180" spans="1:8" x14ac:dyDescent="0.3">
      <c r="A180" s="73">
        <v>428</v>
      </c>
      <c r="B180" t="s">
        <v>338</v>
      </c>
      <c r="C180" s="74" t="s">
        <v>111</v>
      </c>
      <c r="D180" t="s">
        <v>120</v>
      </c>
      <c r="E180" t="s">
        <v>188</v>
      </c>
      <c r="F180">
        <v>1120.49</v>
      </c>
      <c r="G180" t="s">
        <v>334</v>
      </c>
      <c r="H180">
        <v>713.07979999999998</v>
      </c>
    </row>
    <row r="181" spans="1:8" x14ac:dyDescent="0.3">
      <c r="A181" s="73">
        <v>427</v>
      </c>
      <c r="B181" t="s">
        <v>339</v>
      </c>
      <c r="C181" s="74" t="s">
        <v>111</v>
      </c>
      <c r="D181" t="s">
        <v>120</v>
      </c>
      <c r="E181" t="s">
        <v>188</v>
      </c>
      <c r="F181">
        <v>1000.4375</v>
      </c>
      <c r="G181" t="s">
        <v>334</v>
      </c>
      <c r="H181">
        <v>605.64919999999995</v>
      </c>
    </row>
    <row r="182" spans="1:8" x14ac:dyDescent="0.3">
      <c r="A182" s="73">
        <v>426</v>
      </c>
      <c r="B182" t="s">
        <v>340</v>
      </c>
      <c r="C182" s="74" t="s">
        <v>111</v>
      </c>
      <c r="D182" t="s">
        <v>120</v>
      </c>
      <c r="E182" t="s">
        <v>188</v>
      </c>
      <c r="F182">
        <v>1120.49</v>
      </c>
      <c r="G182" t="s">
        <v>334</v>
      </c>
      <c r="H182">
        <v>713.07979999999998</v>
      </c>
    </row>
    <row r="183" spans="1:8" x14ac:dyDescent="0.3">
      <c r="A183" s="73">
        <v>425</v>
      </c>
      <c r="B183" t="s">
        <v>341</v>
      </c>
      <c r="C183" s="74" t="s">
        <v>111</v>
      </c>
      <c r="D183" t="s">
        <v>120</v>
      </c>
      <c r="E183" t="s">
        <v>342</v>
      </c>
      <c r="F183">
        <v>148.22</v>
      </c>
      <c r="G183" t="s">
        <v>343</v>
      </c>
      <c r="H183">
        <v>65.809700000000007</v>
      </c>
    </row>
    <row r="184" spans="1:8" x14ac:dyDescent="0.3">
      <c r="A184" s="73">
        <v>424</v>
      </c>
      <c r="B184" t="s">
        <v>344</v>
      </c>
      <c r="C184" s="74" t="s">
        <v>111</v>
      </c>
      <c r="D184" t="s">
        <v>120</v>
      </c>
      <c r="E184" t="s">
        <v>342</v>
      </c>
      <c r="F184">
        <v>175.49</v>
      </c>
      <c r="G184" t="s">
        <v>345</v>
      </c>
      <c r="H184">
        <v>77.917599999999993</v>
      </c>
    </row>
    <row r="185" spans="1:8" x14ac:dyDescent="0.3">
      <c r="A185" s="73">
        <v>423</v>
      </c>
      <c r="B185" t="s">
        <v>346</v>
      </c>
      <c r="C185" s="74" t="s">
        <v>111</v>
      </c>
      <c r="D185" t="s">
        <v>120</v>
      </c>
      <c r="E185" t="s">
        <v>342</v>
      </c>
      <c r="F185">
        <v>229.49</v>
      </c>
      <c r="G185" t="s">
        <v>347</v>
      </c>
      <c r="H185">
        <v>101.89360000000001</v>
      </c>
    </row>
    <row r="186" spans="1:8" x14ac:dyDescent="0.3">
      <c r="A186" s="73">
        <v>422</v>
      </c>
      <c r="B186" t="s">
        <v>348</v>
      </c>
      <c r="C186" s="74" t="s">
        <v>111</v>
      </c>
      <c r="D186" t="s">
        <v>120</v>
      </c>
      <c r="E186" t="s">
        <v>342</v>
      </c>
      <c r="F186">
        <v>34.200000000000003</v>
      </c>
      <c r="G186" t="s">
        <v>349</v>
      </c>
      <c r="H186">
        <v>15.184799999999999</v>
      </c>
    </row>
    <row r="187" spans="1:8" x14ac:dyDescent="0.3">
      <c r="A187" s="73">
        <v>421</v>
      </c>
      <c r="B187" t="s">
        <v>350</v>
      </c>
      <c r="C187" s="74" t="s">
        <v>111</v>
      </c>
      <c r="D187" t="s">
        <v>120</v>
      </c>
      <c r="E187" t="s">
        <v>342</v>
      </c>
      <c r="F187">
        <v>102.29</v>
      </c>
      <c r="G187" t="s">
        <v>351</v>
      </c>
      <c r="H187">
        <v>45.416800000000002</v>
      </c>
    </row>
    <row r="188" spans="1:8" x14ac:dyDescent="0.3">
      <c r="A188" s="73">
        <v>420</v>
      </c>
      <c r="B188" t="s">
        <v>352</v>
      </c>
      <c r="C188" s="74" t="s">
        <v>111</v>
      </c>
      <c r="D188" t="s">
        <v>120</v>
      </c>
      <c r="E188" t="s">
        <v>342</v>
      </c>
      <c r="F188">
        <v>124.73</v>
      </c>
      <c r="G188" t="s">
        <v>353</v>
      </c>
      <c r="H188">
        <v>55.380099999999999</v>
      </c>
    </row>
    <row r="189" spans="1:8" x14ac:dyDescent="0.3">
      <c r="A189" s="73">
        <v>419</v>
      </c>
      <c r="B189" t="s">
        <v>354</v>
      </c>
      <c r="C189" s="74" t="s">
        <v>111</v>
      </c>
      <c r="D189" t="s">
        <v>120</v>
      </c>
      <c r="E189" t="s">
        <v>342</v>
      </c>
      <c r="F189">
        <v>40.490900000000003</v>
      </c>
      <c r="G189" t="s">
        <v>355</v>
      </c>
      <c r="H189">
        <v>17.978000000000002</v>
      </c>
    </row>
    <row r="190" spans="1:8" x14ac:dyDescent="0.3">
      <c r="A190" s="73">
        <v>418</v>
      </c>
      <c r="B190" t="s">
        <v>356</v>
      </c>
      <c r="C190" s="74" t="s">
        <v>149</v>
      </c>
      <c r="D190" t="s">
        <v>120</v>
      </c>
      <c r="E190" t="s">
        <v>329</v>
      </c>
      <c r="F190">
        <v>44.54</v>
      </c>
      <c r="G190" t="s">
        <v>355</v>
      </c>
      <c r="H190">
        <v>19.7758</v>
      </c>
    </row>
    <row r="191" spans="1:8" x14ac:dyDescent="0.3">
      <c r="A191" s="73">
        <v>417</v>
      </c>
      <c r="B191" t="s">
        <v>356</v>
      </c>
      <c r="C191" s="74" t="s">
        <v>149</v>
      </c>
      <c r="D191" t="s">
        <v>120</v>
      </c>
      <c r="E191" t="s">
        <v>329</v>
      </c>
      <c r="F191">
        <v>56.290900000000001</v>
      </c>
      <c r="G191" t="s">
        <v>357</v>
      </c>
      <c r="H191">
        <v>24.993200000000002</v>
      </c>
    </row>
    <row r="192" spans="1:8" x14ac:dyDescent="0.3">
      <c r="A192" s="73">
        <v>416</v>
      </c>
      <c r="B192" t="s">
        <v>358</v>
      </c>
      <c r="C192" s="74" t="s">
        <v>111</v>
      </c>
      <c r="D192" t="s">
        <v>120</v>
      </c>
      <c r="E192" t="s">
        <v>342</v>
      </c>
      <c r="F192">
        <v>61.92</v>
      </c>
      <c r="G192" t="s">
        <v>357</v>
      </c>
      <c r="H192">
        <v>27.4925</v>
      </c>
    </row>
    <row r="193" spans="1:8" x14ac:dyDescent="0.3">
      <c r="A193" s="73">
        <v>415</v>
      </c>
      <c r="B193" t="s">
        <v>359</v>
      </c>
      <c r="C193" s="74" t="s">
        <v>111</v>
      </c>
      <c r="D193" t="s">
        <v>120</v>
      </c>
      <c r="E193" t="s">
        <v>342</v>
      </c>
      <c r="F193">
        <v>109.3364</v>
      </c>
      <c r="G193" t="s">
        <v>360</v>
      </c>
      <c r="H193">
        <v>48.545299999999997</v>
      </c>
    </row>
    <row r="194" spans="1:8" x14ac:dyDescent="0.3">
      <c r="A194" s="73">
        <v>414</v>
      </c>
      <c r="B194" t="s">
        <v>361</v>
      </c>
      <c r="C194" s="74" t="s">
        <v>111</v>
      </c>
      <c r="D194" t="s">
        <v>120</v>
      </c>
      <c r="E194" t="s">
        <v>342</v>
      </c>
      <c r="F194">
        <v>120.27</v>
      </c>
      <c r="G194" t="s">
        <v>360</v>
      </c>
      <c r="H194">
        <v>53.399900000000002</v>
      </c>
    </row>
    <row r="195" spans="1:8" x14ac:dyDescent="0.3">
      <c r="A195" s="73">
        <v>413</v>
      </c>
      <c r="B195" t="s">
        <v>362</v>
      </c>
      <c r="C195" s="74" t="s">
        <v>111</v>
      </c>
      <c r="D195" t="s">
        <v>120</v>
      </c>
      <c r="E195" t="s">
        <v>342</v>
      </c>
      <c r="F195">
        <v>40.490900000000003</v>
      </c>
      <c r="G195" t="s">
        <v>363</v>
      </c>
      <c r="H195">
        <v>17.978000000000002</v>
      </c>
    </row>
    <row r="196" spans="1:8" x14ac:dyDescent="0.3">
      <c r="A196" s="73">
        <v>412</v>
      </c>
      <c r="B196" t="s">
        <v>364</v>
      </c>
      <c r="C196" s="74" t="s">
        <v>111</v>
      </c>
      <c r="D196" t="s">
        <v>120</v>
      </c>
      <c r="E196" t="s">
        <v>342</v>
      </c>
      <c r="F196">
        <v>44.54</v>
      </c>
      <c r="G196" t="s">
        <v>363</v>
      </c>
      <c r="H196">
        <v>19.7758</v>
      </c>
    </row>
    <row r="197" spans="1:8" x14ac:dyDescent="0.3">
      <c r="A197" s="73">
        <v>411</v>
      </c>
      <c r="B197" t="s">
        <v>365</v>
      </c>
      <c r="C197" s="74" t="s">
        <v>111</v>
      </c>
      <c r="D197" t="s">
        <v>120</v>
      </c>
      <c r="E197" t="s">
        <v>342</v>
      </c>
      <c r="F197">
        <v>56.290900000000001</v>
      </c>
      <c r="G197" t="s">
        <v>366</v>
      </c>
      <c r="H197">
        <v>24.993200000000002</v>
      </c>
    </row>
    <row r="198" spans="1:8" x14ac:dyDescent="0.3">
      <c r="A198" s="73">
        <v>410</v>
      </c>
      <c r="B198" t="s">
        <v>367</v>
      </c>
      <c r="C198" s="74" t="s">
        <v>111</v>
      </c>
      <c r="D198" t="s">
        <v>120</v>
      </c>
      <c r="E198" t="s">
        <v>342</v>
      </c>
      <c r="F198">
        <v>61.92</v>
      </c>
      <c r="G198" t="s">
        <v>366</v>
      </c>
      <c r="H198">
        <v>27.4925</v>
      </c>
    </row>
    <row r="199" spans="1:8" x14ac:dyDescent="0.3">
      <c r="A199" s="73">
        <v>409</v>
      </c>
      <c r="B199" t="s">
        <v>368</v>
      </c>
      <c r="C199" s="74" t="s">
        <v>111</v>
      </c>
      <c r="D199" t="s">
        <v>120</v>
      </c>
      <c r="E199" t="s">
        <v>188</v>
      </c>
      <c r="F199">
        <v>109.3364</v>
      </c>
      <c r="G199" t="s">
        <v>369</v>
      </c>
      <c r="H199">
        <v>48.545299999999997</v>
      </c>
    </row>
    <row r="200" spans="1:8" x14ac:dyDescent="0.3">
      <c r="A200" s="73">
        <v>408</v>
      </c>
      <c r="B200" t="s">
        <v>369</v>
      </c>
      <c r="C200" s="74" t="s">
        <v>119</v>
      </c>
      <c r="D200" t="s">
        <v>120</v>
      </c>
      <c r="E200" t="s">
        <v>183</v>
      </c>
      <c r="F200">
        <v>120.27</v>
      </c>
      <c r="G200" t="s">
        <v>369</v>
      </c>
      <c r="H200">
        <v>53.399900000000002</v>
      </c>
    </row>
    <row r="201" spans="1:8" x14ac:dyDescent="0.3">
      <c r="A201" s="73">
        <v>407</v>
      </c>
      <c r="B201" t="s">
        <v>369</v>
      </c>
      <c r="C201" s="74" t="s">
        <v>119</v>
      </c>
      <c r="D201" t="s">
        <v>120</v>
      </c>
      <c r="E201" t="s">
        <v>183</v>
      </c>
      <c r="F201">
        <v>348.76</v>
      </c>
      <c r="G201" t="s">
        <v>370</v>
      </c>
      <c r="H201">
        <v>185.8193</v>
      </c>
    </row>
    <row r="202" spans="1:8" x14ac:dyDescent="0.3">
      <c r="A202" s="73">
        <v>406</v>
      </c>
      <c r="B202" t="s">
        <v>366</v>
      </c>
      <c r="C202" s="74" t="s">
        <v>119</v>
      </c>
      <c r="D202" t="s">
        <v>120</v>
      </c>
      <c r="E202" t="s">
        <v>183</v>
      </c>
      <c r="F202">
        <v>60.744999999999997</v>
      </c>
      <c r="G202" t="s">
        <v>367</v>
      </c>
      <c r="H202">
        <v>26.970800000000001</v>
      </c>
    </row>
    <row r="203" spans="1:8" x14ac:dyDescent="0.3">
      <c r="A203" s="73">
        <v>405</v>
      </c>
      <c r="B203" t="s">
        <v>366</v>
      </c>
      <c r="C203" s="74" t="s">
        <v>119</v>
      </c>
      <c r="D203" t="s">
        <v>120</v>
      </c>
      <c r="E203" t="s">
        <v>183</v>
      </c>
      <c r="F203">
        <v>209.02500000000001</v>
      </c>
      <c r="G203" t="s">
        <v>365</v>
      </c>
      <c r="H203">
        <v>92.807100000000005</v>
      </c>
    </row>
    <row r="204" spans="1:8" x14ac:dyDescent="0.3">
      <c r="A204" s="73">
        <v>404</v>
      </c>
      <c r="B204" t="s">
        <v>363</v>
      </c>
      <c r="C204" s="74" t="s">
        <v>119</v>
      </c>
      <c r="D204" t="s">
        <v>120</v>
      </c>
      <c r="E204" t="s">
        <v>183</v>
      </c>
      <c r="F204">
        <v>300.21499999999997</v>
      </c>
      <c r="G204" t="s">
        <v>364</v>
      </c>
      <c r="H204">
        <v>133.2955</v>
      </c>
    </row>
    <row r="205" spans="1:8" x14ac:dyDescent="0.3">
      <c r="A205" s="73">
        <v>403</v>
      </c>
      <c r="B205" t="s">
        <v>363</v>
      </c>
      <c r="C205" s="74" t="s">
        <v>119</v>
      </c>
      <c r="D205" t="s">
        <v>120</v>
      </c>
      <c r="E205" t="s">
        <v>183</v>
      </c>
      <c r="F205">
        <v>85.564999999999998</v>
      </c>
      <c r="G205" t="s">
        <v>362</v>
      </c>
      <c r="H205">
        <v>37.990900000000003</v>
      </c>
    </row>
    <row r="206" spans="1:8" x14ac:dyDescent="0.3">
      <c r="A206" s="73">
        <v>402</v>
      </c>
      <c r="B206" t="s">
        <v>360</v>
      </c>
      <c r="C206" s="74" t="s">
        <v>119</v>
      </c>
      <c r="D206" t="s">
        <v>120</v>
      </c>
      <c r="E206" t="s">
        <v>183</v>
      </c>
      <c r="F206">
        <v>248.38499999999999</v>
      </c>
      <c r="G206" t="s">
        <v>361</v>
      </c>
      <c r="H206">
        <v>110.2829</v>
      </c>
    </row>
    <row r="207" spans="1:8" x14ac:dyDescent="0.3">
      <c r="A207" s="73">
        <v>401</v>
      </c>
      <c r="B207" t="s">
        <v>360</v>
      </c>
      <c r="C207" s="74" t="s">
        <v>119</v>
      </c>
      <c r="D207" t="s">
        <v>120</v>
      </c>
      <c r="E207" t="s">
        <v>183</v>
      </c>
      <c r="F207">
        <v>330.06</v>
      </c>
      <c r="G207" t="s">
        <v>359</v>
      </c>
      <c r="H207">
        <v>146.54660000000001</v>
      </c>
    </row>
    <row r="208" spans="1:8" x14ac:dyDescent="0.3">
      <c r="A208" s="73">
        <v>400</v>
      </c>
      <c r="B208" t="s">
        <v>357</v>
      </c>
      <c r="C208" s="74" t="s">
        <v>119</v>
      </c>
      <c r="D208" t="s">
        <v>120</v>
      </c>
      <c r="E208" t="s">
        <v>183</v>
      </c>
      <c r="F208">
        <v>218.01</v>
      </c>
      <c r="G208" t="s">
        <v>358</v>
      </c>
      <c r="H208">
        <v>96.796400000000006</v>
      </c>
    </row>
    <row r="209" spans="1:8" x14ac:dyDescent="0.3">
      <c r="A209" s="73">
        <v>399</v>
      </c>
      <c r="B209" t="s">
        <v>357</v>
      </c>
      <c r="C209" s="74" t="s">
        <v>119</v>
      </c>
      <c r="D209" t="s">
        <v>120</v>
      </c>
      <c r="E209" t="s">
        <v>183</v>
      </c>
      <c r="F209">
        <v>540.75450000000001</v>
      </c>
      <c r="G209" t="s">
        <v>371</v>
      </c>
      <c r="H209">
        <v>300.11880000000002</v>
      </c>
    </row>
    <row r="210" spans="1:8" x14ac:dyDescent="0.3">
      <c r="A210" s="73">
        <v>398</v>
      </c>
      <c r="B210" t="s">
        <v>355</v>
      </c>
      <c r="C210" s="74" t="s">
        <v>119</v>
      </c>
      <c r="D210" t="s">
        <v>120</v>
      </c>
      <c r="E210" t="s">
        <v>183</v>
      </c>
      <c r="F210">
        <v>594.83000000000004</v>
      </c>
      <c r="G210" t="s">
        <v>371</v>
      </c>
      <c r="H210">
        <v>360.94279999999998</v>
      </c>
    </row>
    <row r="211" spans="1:8" x14ac:dyDescent="0.3">
      <c r="A211" s="73">
        <v>397</v>
      </c>
      <c r="B211" t="s">
        <v>355</v>
      </c>
      <c r="C211" s="74" t="s">
        <v>119</v>
      </c>
      <c r="D211" t="s">
        <v>120</v>
      </c>
      <c r="E211" t="s">
        <v>183</v>
      </c>
      <c r="F211">
        <v>87.745000000000005</v>
      </c>
      <c r="G211" t="s">
        <v>354</v>
      </c>
      <c r="H211">
        <v>38.958799999999997</v>
      </c>
    </row>
    <row r="212" spans="1:8" x14ac:dyDescent="0.3">
      <c r="A212" s="73">
        <v>396</v>
      </c>
      <c r="B212" t="s">
        <v>353</v>
      </c>
      <c r="C212" s="74" t="s">
        <v>119</v>
      </c>
      <c r="D212" t="s">
        <v>120</v>
      </c>
      <c r="E212" t="s">
        <v>372</v>
      </c>
      <c r="F212">
        <v>236.02500000000001</v>
      </c>
      <c r="G212" t="s">
        <v>352</v>
      </c>
      <c r="H212">
        <v>104.79510000000001</v>
      </c>
    </row>
    <row r="213" spans="1:8" x14ac:dyDescent="0.3">
      <c r="A213" s="73">
        <v>395</v>
      </c>
      <c r="B213" t="s">
        <v>351</v>
      </c>
      <c r="C213" s="74" t="s">
        <v>119</v>
      </c>
      <c r="D213" t="s">
        <v>120</v>
      </c>
      <c r="E213" t="s">
        <v>372</v>
      </c>
      <c r="F213">
        <v>327.21499999999997</v>
      </c>
      <c r="G213" t="s">
        <v>350</v>
      </c>
      <c r="H213">
        <v>145.2835</v>
      </c>
    </row>
    <row r="214" spans="1:8" x14ac:dyDescent="0.3">
      <c r="A214" s="73">
        <v>394</v>
      </c>
      <c r="B214" t="s">
        <v>349</v>
      </c>
      <c r="C214" s="74" t="s">
        <v>119</v>
      </c>
      <c r="D214" t="s">
        <v>120</v>
      </c>
      <c r="E214" t="s">
        <v>372</v>
      </c>
      <c r="F214">
        <v>112.565</v>
      </c>
      <c r="G214" t="s">
        <v>348</v>
      </c>
      <c r="H214">
        <v>49.978900000000003</v>
      </c>
    </row>
    <row r="215" spans="1:8" x14ac:dyDescent="0.3">
      <c r="A215" s="73">
        <v>393</v>
      </c>
      <c r="B215" t="s">
        <v>347</v>
      </c>
      <c r="C215" s="74" t="s">
        <v>119</v>
      </c>
      <c r="D215" t="s">
        <v>120</v>
      </c>
      <c r="E215" t="s">
        <v>373</v>
      </c>
      <c r="F215">
        <v>275.38499999999999</v>
      </c>
      <c r="G215" t="s">
        <v>346</v>
      </c>
      <c r="H215">
        <v>122.2709</v>
      </c>
    </row>
    <row r="216" spans="1:8" x14ac:dyDescent="0.3">
      <c r="A216" s="73">
        <v>392</v>
      </c>
      <c r="B216" t="s">
        <v>345</v>
      </c>
      <c r="C216" s="74" t="s">
        <v>119</v>
      </c>
      <c r="D216" t="s">
        <v>120</v>
      </c>
      <c r="E216" t="s">
        <v>373</v>
      </c>
      <c r="F216">
        <v>357.06</v>
      </c>
      <c r="G216" t="s">
        <v>344</v>
      </c>
      <c r="H216">
        <v>158.53460000000001</v>
      </c>
    </row>
    <row r="217" spans="1:8" x14ac:dyDescent="0.3">
      <c r="A217" s="73">
        <v>391</v>
      </c>
      <c r="B217" t="s">
        <v>343</v>
      </c>
      <c r="C217" s="74" t="s">
        <v>119</v>
      </c>
      <c r="D217" t="s">
        <v>120</v>
      </c>
      <c r="E217" t="s">
        <v>373</v>
      </c>
      <c r="F217">
        <v>245.01</v>
      </c>
      <c r="G217" t="s">
        <v>341</v>
      </c>
      <c r="H217">
        <v>108.78440000000001</v>
      </c>
    </row>
    <row r="218" spans="1:8" x14ac:dyDescent="0.3">
      <c r="A218" s="73">
        <v>390</v>
      </c>
      <c r="B218" t="s">
        <v>374</v>
      </c>
      <c r="C218" s="74" t="s">
        <v>149</v>
      </c>
      <c r="D218" t="s">
        <v>112</v>
      </c>
      <c r="E218" t="s">
        <v>113</v>
      </c>
      <c r="F218">
        <v>348.76</v>
      </c>
      <c r="G218" t="s">
        <v>375</v>
      </c>
      <c r="H218">
        <v>185.8193</v>
      </c>
    </row>
    <row r="219" spans="1:8" x14ac:dyDescent="0.3">
      <c r="A219" s="73">
        <v>389</v>
      </c>
      <c r="B219" t="s">
        <v>374</v>
      </c>
      <c r="C219" s="74" t="s">
        <v>149</v>
      </c>
      <c r="D219" t="s">
        <v>112</v>
      </c>
      <c r="E219" t="s">
        <v>113</v>
      </c>
      <c r="F219">
        <v>348.76</v>
      </c>
      <c r="G219" t="s">
        <v>375</v>
      </c>
      <c r="H219">
        <v>185.8193</v>
      </c>
    </row>
    <row r="220" spans="1:8" x14ac:dyDescent="0.3">
      <c r="A220" s="73">
        <v>388</v>
      </c>
      <c r="B220" t="s">
        <v>376</v>
      </c>
      <c r="C220" s="74" t="s">
        <v>149</v>
      </c>
      <c r="D220" t="s">
        <v>112</v>
      </c>
      <c r="E220" t="s">
        <v>113</v>
      </c>
      <c r="F220">
        <v>348.76</v>
      </c>
      <c r="G220" t="s">
        <v>375</v>
      </c>
      <c r="H220">
        <v>185.8193</v>
      </c>
    </row>
    <row r="221" spans="1:8" x14ac:dyDescent="0.3">
      <c r="A221" s="73">
        <v>387</v>
      </c>
      <c r="B221" t="s">
        <v>376</v>
      </c>
      <c r="C221" s="74" t="s">
        <v>149</v>
      </c>
      <c r="D221" t="s">
        <v>112</v>
      </c>
      <c r="E221" t="s">
        <v>113</v>
      </c>
      <c r="F221">
        <v>540.75450000000001</v>
      </c>
      <c r="G221" t="s">
        <v>371</v>
      </c>
      <c r="H221">
        <v>300.11880000000002</v>
      </c>
    </row>
    <row r="222" spans="1:8" x14ac:dyDescent="0.3">
      <c r="A222" s="73">
        <v>386</v>
      </c>
      <c r="B222" t="s">
        <v>377</v>
      </c>
      <c r="C222" s="74" t="s">
        <v>149</v>
      </c>
      <c r="D222" t="s">
        <v>112</v>
      </c>
      <c r="E222" t="s">
        <v>113</v>
      </c>
      <c r="F222">
        <v>594.83000000000004</v>
      </c>
      <c r="G222" t="s">
        <v>371</v>
      </c>
      <c r="H222">
        <v>360.94279999999998</v>
      </c>
    </row>
    <row r="223" spans="1:8" x14ac:dyDescent="0.3">
      <c r="A223" s="73">
        <v>385</v>
      </c>
      <c r="B223" t="s">
        <v>377</v>
      </c>
      <c r="C223" s="74" t="s">
        <v>149</v>
      </c>
      <c r="D223" t="s">
        <v>112</v>
      </c>
      <c r="E223" t="s">
        <v>113</v>
      </c>
      <c r="F223">
        <v>540.75450000000001</v>
      </c>
      <c r="G223" t="s">
        <v>371</v>
      </c>
      <c r="H223">
        <v>300.11880000000002</v>
      </c>
    </row>
    <row r="224" spans="1:8" x14ac:dyDescent="0.3">
      <c r="A224" s="73">
        <v>384</v>
      </c>
      <c r="B224" t="s">
        <v>378</v>
      </c>
      <c r="C224" s="74" t="s">
        <v>149</v>
      </c>
      <c r="D224" t="s">
        <v>112</v>
      </c>
      <c r="E224" t="s">
        <v>113</v>
      </c>
      <c r="F224">
        <v>594.83000000000004</v>
      </c>
      <c r="G224" t="s">
        <v>371</v>
      </c>
      <c r="H224">
        <v>360.94279999999998</v>
      </c>
    </row>
    <row r="225" spans="1:8" x14ac:dyDescent="0.3">
      <c r="A225" s="73">
        <v>383</v>
      </c>
      <c r="B225" t="s">
        <v>378</v>
      </c>
      <c r="C225" s="74" t="s">
        <v>149</v>
      </c>
      <c r="D225" t="s">
        <v>112</v>
      </c>
      <c r="E225" t="s">
        <v>113</v>
      </c>
      <c r="F225">
        <v>540.75450000000001</v>
      </c>
      <c r="G225" t="s">
        <v>371</v>
      </c>
      <c r="H225">
        <v>300.11880000000002</v>
      </c>
    </row>
    <row r="226" spans="1:8" x14ac:dyDescent="0.3">
      <c r="A226" s="73">
        <v>382</v>
      </c>
      <c r="B226" t="s">
        <v>379</v>
      </c>
      <c r="C226" s="74" t="s">
        <v>149</v>
      </c>
      <c r="D226" t="s">
        <v>112</v>
      </c>
      <c r="E226" t="s">
        <v>113</v>
      </c>
      <c r="F226">
        <v>594.83000000000004</v>
      </c>
      <c r="G226" t="s">
        <v>371</v>
      </c>
      <c r="H226">
        <v>360.94279999999998</v>
      </c>
    </row>
    <row r="227" spans="1:8" x14ac:dyDescent="0.3">
      <c r="A227" s="73">
        <v>381</v>
      </c>
      <c r="B227" t="s">
        <v>379</v>
      </c>
      <c r="C227" s="74" t="s">
        <v>149</v>
      </c>
      <c r="D227" t="s">
        <v>112</v>
      </c>
      <c r="E227" t="s">
        <v>113</v>
      </c>
      <c r="F227">
        <v>540.75450000000001</v>
      </c>
      <c r="G227" t="s">
        <v>371</v>
      </c>
      <c r="H227">
        <v>300.11880000000002</v>
      </c>
    </row>
    <row r="228" spans="1:8" x14ac:dyDescent="0.3">
      <c r="A228" s="73">
        <v>380</v>
      </c>
      <c r="B228" t="s">
        <v>380</v>
      </c>
      <c r="C228" s="74" t="s">
        <v>111</v>
      </c>
      <c r="D228" t="s">
        <v>112</v>
      </c>
      <c r="E228" t="s">
        <v>113</v>
      </c>
      <c r="F228">
        <v>594.83000000000004</v>
      </c>
      <c r="G228" t="s">
        <v>371</v>
      </c>
      <c r="H228">
        <v>360.94279999999998</v>
      </c>
    </row>
    <row r="229" spans="1:8" x14ac:dyDescent="0.3">
      <c r="A229" s="73">
        <v>379</v>
      </c>
      <c r="B229" t="s">
        <v>380</v>
      </c>
      <c r="C229" s="74" t="s">
        <v>111</v>
      </c>
      <c r="D229" t="s">
        <v>112</v>
      </c>
      <c r="E229" t="s">
        <v>113</v>
      </c>
      <c r="F229">
        <v>1301.3635999999999</v>
      </c>
      <c r="G229" t="s">
        <v>114</v>
      </c>
      <c r="H229">
        <v>722.2568</v>
      </c>
    </row>
    <row r="230" spans="1:8" x14ac:dyDescent="0.3">
      <c r="A230" s="73">
        <v>378</v>
      </c>
      <c r="B230" t="s">
        <v>381</v>
      </c>
      <c r="C230" s="74" t="s">
        <v>111</v>
      </c>
      <c r="D230" t="s">
        <v>112</v>
      </c>
      <c r="E230" t="s">
        <v>113</v>
      </c>
      <c r="F230">
        <v>1431.5</v>
      </c>
      <c r="G230" t="s">
        <v>114</v>
      </c>
      <c r="H230">
        <v>868.63419999999996</v>
      </c>
    </row>
    <row r="231" spans="1:8" x14ac:dyDescent="0.3">
      <c r="A231" s="73">
        <v>377</v>
      </c>
      <c r="B231" t="s">
        <v>381</v>
      </c>
      <c r="C231" s="74" t="s">
        <v>111</v>
      </c>
      <c r="D231" t="s">
        <v>112</v>
      </c>
      <c r="E231" t="s">
        <v>113</v>
      </c>
      <c r="F231">
        <v>1301.3635999999999</v>
      </c>
      <c r="G231" t="s">
        <v>114</v>
      </c>
      <c r="H231">
        <v>722.2568</v>
      </c>
    </row>
    <row r="232" spans="1:8" x14ac:dyDescent="0.3">
      <c r="A232" s="73">
        <v>376</v>
      </c>
      <c r="B232" t="s">
        <v>382</v>
      </c>
      <c r="C232" s="74" t="s">
        <v>111</v>
      </c>
      <c r="D232" t="s">
        <v>112</v>
      </c>
      <c r="E232" t="s">
        <v>113</v>
      </c>
      <c r="F232">
        <v>1431.5</v>
      </c>
      <c r="G232" t="s">
        <v>114</v>
      </c>
      <c r="H232">
        <v>868.63419999999996</v>
      </c>
    </row>
    <row r="233" spans="1:8" x14ac:dyDescent="0.3">
      <c r="A233" s="73">
        <v>375</v>
      </c>
      <c r="B233" t="s">
        <v>382</v>
      </c>
      <c r="C233" s="74" t="s">
        <v>111</v>
      </c>
      <c r="D233" t="s">
        <v>112</v>
      </c>
      <c r="E233" t="s">
        <v>113</v>
      </c>
      <c r="F233">
        <v>1301.3635999999999</v>
      </c>
      <c r="G233" t="s">
        <v>114</v>
      </c>
      <c r="H233">
        <v>722.2568</v>
      </c>
    </row>
    <row r="234" spans="1:8" x14ac:dyDescent="0.3">
      <c r="A234" s="73">
        <v>374</v>
      </c>
      <c r="B234" t="s">
        <v>383</v>
      </c>
      <c r="C234" s="74" t="s">
        <v>111</v>
      </c>
      <c r="D234" t="s">
        <v>112</v>
      </c>
      <c r="E234" t="s">
        <v>113</v>
      </c>
      <c r="F234">
        <v>1431.5</v>
      </c>
      <c r="G234" t="s">
        <v>114</v>
      </c>
      <c r="H234">
        <v>868.63419999999996</v>
      </c>
    </row>
    <row r="235" spans="1:8" x14ac:dyDescent="0.3">
      <c r="A235" s="73">
        <v>373</v>
      </c>
      <c r="B235" t="s">
        <v>383</v>
      </c>
      <c r="C235" s="74" t="s">
        <v>111</v>
      </c>
      <c r="D235" t="s">
        <v>112</v>
      </c>
      <c r="E235" t="s">
        <v>113</v>
      </c>
      <c r="F235">
        <v>1301.3635999999999</v>
      </c>
      <c r="G235" t="s">
        <v>114</v>
      </c>
      <c r="H235">
        <v>722.2568</v>
      </c>
    </row>
    <row r="236" spans="1:8" x14ac:dyDescent="0.3">
      <c r="A236" s="73">
        <v>372</v>
      </c>
      <c r="B236" t="s">
        <v>384</v>
      </c>
      <c r="C236" s="74" t="s">
        <v>385</v>
      </c>
      <c r="D236" t="s">
        <v>112</v>
      </c>
      <c r="E236" t="s">
        <v>113</v>
      </c>
      <c r="F236">
        <v>1431.5</v>
      </c>
      <c r="G236" t="s">
        <v>114</v>
      </c>
      <c r="H236">
        <v>868.63419999999996</v>
      </c>
    </row>
    <row r="237" spans="1:8" x14ac:dyDescent="0.3">
      <c r="A237" s="73">
        <v>371</v>
      </c>
      <c r="B237" t="s">
        <v>384</v>
      </c>
      <c r="C237" s="74" t="s">
        <v>385</v>
      </c>
      <c r="D237" t="s">
        <v>112</v>
      </c>
      <c r="E237" t="s">
        <v>113</v>
      </c>
      <c r="F237">
        <v>59.99</v>
      </c>
      <c r="G237" t="s">
        <v>386</v>
      </c>
      <c r="H237">
        <v>24.745899999999999</v>
      </c>
    </row>
    <row r="238" spans="1:8" x14ac:dyDescent="0.3">
      <c r="A238" s="73">
        <v>370</v>
      </c>
      <c r="B238" t="s">
        <v>387</v>
      </c>
      <c r="C238" s="74" t="s">
        <v>385</v>
      </c>
      <c r="D238" t="s">
        <v>112</v>
      </c>
      <c r="E238" t="s">
        <v>113</v>
      </c>
      <c r="F238">
        <v>125</v>
      </c>
      <c r="G238" t="s">
        <v>388</v>
      </c>
      <c r="H238">
        <v>51.5625</v>
      </c>
    </row>
    <row r="239" spans="1:8" x14ac:dyDescent="0.3">
      <c r="A239" s="73">
        <v>369</v>
      </c>
      <c r="B239" t="s">
        <v>389</v>
      </c>
      <c r="C239" s="74" t="s">
        <v>385</v>
      </c>
      <c r="D239" t="s">
        <v>112</v>
      </c>
      <c r="E239" t="s">
        <v>113</v>
      </c>
      <c r="F239">
        <v>25</v>
      </c>
      <c r="G239" t="s">
        <v>322</v>
      </c>
      <c r="H239">
        <v>10.3125</v>
      </c>
    </row>
    <row r="240" spans="1:8" x14ac:dyDescent="0.3">
      <c r="A240" s="73">
        <v>368</v>
      </c>
      <c r="B240" t="s">
        <v>390</v>
      </c>
      <c r="C240" s="74" t="s">
        <v>385</v>
      </c>
      <c r="D240" t="s">
        <v>112</v>
      </c>
      <c r="E240" t="s">
        <v>113</v>
      </c>
      <c r="F240">
        <v>19.989999999999998</v>
      </c>
      <c r="G240" t="s">
        <v>320</v>
      </c>
      <c r="H240">
        <v>8.2459000000000007</v>
      </c>
    </row>
    <row r="241" spans="1:8" x14ac:dyDescent="0.3">
      <c r="A241" s="73">
        <v>367</v>
      </c>
      <c r="B241" t="s">
        <v>391</v>
      </c>
      <c r="C241" s="74" t="s">
        <v>111</v>
      </c>
      <c r="D241" t="s">
        <v>112</v>
      </c>
      <c r="E241" t="s">
        <v>125</v>
      </c>
      <c r="F241">
        <v>24.99</v>
      </c>
      <c r="G241" t="s">
        <v>318</v>
      </c>
      <c r="H241">
        <v>10.308400000000001</v>
      </c>
    </row>
    <row r="242" spans="1:8" x14ac:dyDescent="0.3">
      <c r="A242" s="73">
        <v>366</v>
      </c>
      <c r="B242" t="s">
        <v>392</v>
      </c>
      <c r="C242" s="74" t="s">
        <v>111</v>
      </c>
      <c r="D242" t="s">
        <v>112</v>
      </c>
      <c r="E242" t="s">
        <v>125</v>
      </c>
      <c r="F242">
        <v>13.99</v>
      </c>
      <c r="G242" t="s">
        <v>393</v>
      </c>
      <c r="H242">
        <v>5.7709000000000001</v>
      </c>
    </row>
    <row r="243" spans="1:8" x14ac:dyDescent="0.3">
      <c r="A243" s="73">
        <v>365</v>
      </c>
      <c r="B243" t="s">
        <v>394</v>
      </c>
      <c r="C243" s="74" t="s">
        <v>111</v>
      </c>
      <c r="D243" t="s">
        <v>112</v>
      </c>
      <c r="E243" t="s">
        <v>125</v>
      </c>
      <c r="F243">
        <v>34.99</v>
      </c>
      <c r="G243" t="s">
        <v>316</v>
      </c>
      <c r="H243">
        <v>14.433400000000001</v>
      </c>
    </row>
    <row r="244" spans="1:8" x14ac:dyDescent="0.3">
      <c r="A244" s="73">
        <v>364</v>
      </c>
      <c r="B244" t="s">
        <v>395</v>
      </c>
      <c r="C244" s="74" t="s">
        <v>111</v>
      </c>
      <c r="D244" t="s">
        <v>112</v>
      </c>
      <c r="E244" t="s">
        <v>125</v>
      </c>
      <c r="F244">
        <v>44.99</v>
      </c>
      <c r="G244" t="s">
        <v>313</v>
      </c>
      <c r="H244">
        <v>18.558399999999999</v>
      </c>
    </row>
    <row r="245" spans="1:8" x14ac:dyDescent="0.3">
      <c r="A245" s="73">
        <v>363</v>
      </c>
      <c r="B245" t="s">
        <v>396</v>
      </c>
      <c r="C245" s="74" t="s">
        <v>111</v>
      </c>
      <c r="D245" t="s">
        <v>112</v>
      </c>
      <c r="E245" t="s">
        <v>125</v>
      </c>
      <c r="F245">
        <v>59.99</v>
      </c>
      <c r="G245" t="s">
        <v>386</v>
      </c>
      <c r="H245">
        <v>24.745899999999999</v>
      </c>
    </row>
    <row r="246" spans="1:8" x14ac:dyDescent="0.3">
      <c r="A246" s="73">
        <v>362</v>
      </c>
      <c r="B246" t="s">
        <v>396</v>
      </c>
      <c r="C246" s="74" t="s">
        <v>111</v>
      </c>
      <c r="D246" t="s">
        <v>112</v>
      </c>
      <c r="E246" t="s">
        <v>125</v>
      </c>
      <c r="F246">
        <v>59.99</v>
      </c>
      <c r="G246" t="s">
        <v>386</v>
      </c>
      <c r="H246">
        <v>24.745899999999999</v>
      </c>
    </row>
    <row r="247" spans="1:8" x14ac:dyDescent="0.3">
      <c r="A247" s="73">
        <v>361</v>
      </c>
      <c r="B247" t="s">
        <v>397</v>
      </c>
      <c r="C247" s="74" t="s">
        <v>111</v>
      </c>
      <c r="D247" t="s">
        <v>112</v>
      </c>
      <c r="E247" t="s">
        <v>125</v>
      </c>
      <c r="F247">
        <v>59.99</v>
      </c>
      <c r="G247" t="s">
        <v>386</v>
      </c>
      <c r="H247">
        <v>24.745899999999999</v>
      </c>
    </row>
    <row r="248" spans="1:8" x14ac:dyDescent="0.3">
      <c r="A248" s="73">
        <v>360</v>
      </c>
      <c r="B248" t="s">
        <v>397</v>
      </c>
      <c r="C248" s="74" t="s">
        <v>111</v>
      </c>
      <c r="D248" t="s">
        <v>112</v>
      </c>
      <c r="E248" t="s">
        <v>125</v>
      </c>
      <c r="F248">
        <v>74.989999999999995</v>
      </c>
      <c r="G248" t="s">
        <v>398</v>
      </c>
      <c r="H248">
        <v>30.933399999999999</v>
      </c>
    </row>
    <row r="249" spans="1:8" x14ac:dyDescent="0.3">
      <c r="A249" s="73">
        <v>359</v>
      </c>
      <c r="B249" t="s">
        <v>399</v>
      </c>
      <c r="C249" s="74" t="s">
        <v>111</v>
      </c>
      <c r="D249" t="s">
        <v>112</v>
      </c>
      <c r="E249" t="s">
        <v>125</v>
      </c>
      <c r="F249">
        <v>74.989999999999995</v>
      </c>
      <c r="G249" t="s">
        <v>398</v>
      </c>
      <c r="H249">
        <v>30.933399999999999</v>
      </c>
    </row>
    <row r="250" spans="1:8" x14ac:dyDescent="0.3">
      <c r="A250" s="73">
        <v>358</v>
      </c>
      <c r="B250" t="s">
        <v>399</v>
      </c>
      <c r="C250" s="74" t="s">
        <v>111</v>
      </c>
      <c r="D250" t="s">
        <v>112</v>
      </c>
      <c r="E250" t="s">
        <v>125</v>
      </c>
      <c r="F250">
        <v>74.989999999999995</v>
      </c>
      <c r="G250" t="s">
        <v>398</v>
      </c>
      <c r="H250">
        <v>30.933399999999999</v>
      </c>
    </row>
    <row r="251" spans="1:8" x14ac:dyDescent="0.3">
      <c r="A251" s="73">
        <v>357</v>
      </c>
      <c r="B251" t="s">
        <v>400</v>
      </c>
      <c r="C251" s="74" t="s">
        <v>132</v>
      </c>
      <c r="D251" t="s">
        <v>112</v>
      </c>
      <c r="E251" t="s">
        <v>125</v>
      </c>
      <c r="F251">
        <v>89.99</v>
      </c>
      <c r="G251" t="s">
        <v>401</v>
      </c>
      <c r="H251">
        <v>37.120899999999999</v>
      </c>
    </row>
    <row r="252" spans="1:8" x14ac:dyDescent="0.3">
      <c r="A252" s="73">
        <v>356</v>
      </c>
      <c r="B252" t="s">
        <v>400</v>
      </c>
      <c r="C252" s="74" t="s">
        <v>132</v>
      </c>
      <c r="D252" t="s">
        <v>112</v>
      </c>
      <c r="E252" t="s">
        <v>125</v>
      </c>
      <c r="F252">
        <v>89.99</v>
      </c>
      <c r="G252" t="s">
        <v>401</v>
      </c>
      <c r="H252">
        <v>37.120899999999999</v>
      </c>
    </row>
    <row r="253" spans="1:8" x14ac:dyDescent="0.3">
      <c r="A253" s="73">
        <v>355</v>
      </c>
      <c r="B253" t="s">
        <v>402</v>
      </c>
      <c r="C253" s="74" t="s">
        <v>132</v>
      </c>
      <c r="D253" t="s">
        <v>112</v>
      </c>
      <c r="E253" t="s">
        <v>125</v>
      </c>
      <c r="F253">
        <v>89.99</v>
      </c>
      <c r="G253" t="s">
        <v>401</v>
      </c>
      <c r="H253">
        <v>37.120899999999999</v>
      </c>
    </row>
    <row r="254" spans="1:8" x14ac:dyDescent="0.3">
      <c r="A254" s="73">
        <v>354</v>
      </c>
      <c r="B254" t="s">
        <v>402</v>
      </c>
      <c r="C254" s="74" t="s">
        <v>132</v>
      </c>
      <c r="D254" t="s">
        <v>112</v>
      </c>
      <c r="E254" t="s">
        <v>125</v>
      </c>
      <c r="F254">
        <v>23.548100000000002</v>
      </c>
      <c r="G254" t="s">
        <v>403</v>
      </c>
      <c r="H254">
        <v>9.7135999999999996</v>
      </c>
    </row>
    <row r="255" spans="1:8" x14ac:dyDescent="0.3">
      <c r="A255" s="73">
        <v>353</v>
      </c>
      <c r="B255" t="s">
        <v>404</v>
      </c>
      <c r="C255" s="74" t="s">
        <v>132</v>
      </c>
      <c r="D255" t="s">
        <v>112</v>
      </c>
      <c r="E255" t="s">
        <v>125</v>
      </c>
      <c r="F255">
        <v>24.49</v>
      </c>
      <c r="G255" t="s">
        <v>403</v>
      </c>
      <c r="H255">
        <v>9.1593</v>
      </c>
    </row>
    <row r="256" spans="1:8" x14ac:dyDescent="0.3">
      <c r="A256" s="73">
        <v>352</v>
      </c>
      <c r="B256" t="s">
        <v>404</v>
      </c>
      <c r="C256" s="74" t="s">
        <v>132</v>
      </c>
      <c r="D256" t="s">
        <v>112</v>
      </c>
      <c r="E256" t="s">
        <v>125</v>
      </c>
      <c r="F256">
        <v>23.548100000000002</v>
      </c>
      <c r="G256" t="s">
        <v>403</v>
      </c>
      <c r="H256">
        <v>9.7135999999999996</v>
      </c>
    </row>
    <row r="257" spans="1:8" x14ac:dyDescent="0.3">
      <c r="A257" s="73">
        <v>351</v>
      </c>
      <c r="B257" t="s">
        <v>405</v>
      </c>
      <c r="C257" s="74" t="s">
        <v>111</v>
      </c>
      <c r="D257" t="s">
        <v>112</v>
      </c>
      <c r="E257" t="s">
        <v>125</v>
      </c>
      <c r="F257">
        <v>24.49</v>
      </c>
      <c r="G257" t="s">
        <v>403</v>
      </c>
      <c r="H257">
        <v>9.1593</v>
      </c>
    </row>
    <row r="258" spans="1:8" x14ac:dyDescent="0.3">
      <c r="A258" s="73">
        <v>350</v>
      </c>
      <c r="B258" t="s">
        <v>406</v>
      </c>
      <c r="C258" s="74" t="s">
        <v>111</v>
      </c>
      <c r="D258" t="s">
        <v>112</v>
      </c>
      <c r="E258" t="s">
        <v>125</v>
      </c>
      <c r="F258">
        <v>23.548100000000002</v>
      </c>
      <c r="G258" t="s">
        <v>403</v>
      </c>
      <c r="H258">
        <v>9.7135999999999996</v>
      </c>
    </row>
    <row r="259" spans="1:8" x14ac:dyDescent="0.3">
      <c r="A259" s="73">
        <v>349</v>
      </c>
      <c r="B259" t="s">
        <v>407</v>
      </c>
      <c r="C259" s="74" t="s">
        <v>111</v>
      </c>
      <c r="D259" t="s">
        <v>112</v>
      </c>
      <c r="E259" t="s">
        <v>125</v>
      </c>
      <c r="F259">
        <v>24.49</v>
      </c>
      <c r="G259" t="s">
        <v>403</v>
      </c>
      <c r="H259">
        <v>9.1593</v>
      </c>
    </row>
    <row r="260" spans="1:8" x14ac:dyDescent="0.3">
      <c r="A260" s="73">
        <v>348</v>
      </c>
      <c r="B260" t="s">
        <v>408</v>
      </c>
      <c r="C260" s="74" t="s">
        <v>111</v>
      </c>
      <c r="D260" t="s">
        <v>112</v>
      </c>
      <c r="E260" t="s">
        <v>125</v>
      </c>
      <c r="F260">
        <v>37.99</v>
      </c>
      <c r="G260" t="s">
        <v>409</v>
      </c>
      <c r="H260">
        <v>15.6709</v>
      </c>
    </row>
    <row r="261" spans="1:8" x14ac:dyDescent="0.3">
      <c r="A261" s="73">
        <v>347</v>
      </c>
      <c r="B261" t="s">
        <v>410</v>
      </c>
      <c r="C261" s="74" t="s">
        <v>132</v>
      </c>
      <c r="D261" t="s">
        <v>112</v>
      </c>
      <c r="E261" t="s">
        <v>125</v>
      </c>
      <c r="F261">
        <v>37.99</v>
      </c>
      <c r="G261" t="s">
        <v>409</v>
      </c>
      <c r="H261">
        <v>15.6709</v>
      </c>
    </row>
    <row r="262" spans="1:8" x14ac:dyDescent="0.3">
      <c r="A262" s="73">
        <v>346</v>
      </c>
      <c r="B262" t="s">
        <v>411</v>
      </c>
      <c r="C262" s="74" t="s">
        <v>132</v>
      </c>
      <c r="D262" t="s">
        <v>112</v>
      </c>
      <c r="E262" t="s">
        <v>125</v>
      </c>
      <c r="F262">
        <v>37.99</v>
      </c>
      <c r="G262" t="s">
        <v>409</v>
      </c>
      <c r="H262">
        <v>15.6709</v>
      </c>
    </row>
    <row r="263" spans="1:8" x14ac:dyDescent="0.3">
      <c r="A263" s="73">
        <v>345</v>
      </c>
      <c r="B263" t="s">
        <v>412</v>
      </c>
      <c r="C263" s="74" t="s">
        <v>132</v>
      </c>
      <c r="D263" t="s">
        <v>112</v>
      </c>
      <c r="E263" t="s">
        <v>125</v>
      </c>
      <c r="F263">
        <v>63.5</v>
      </c>
      <c r="G263" t="s">
        <v>413</v>
      </c>
      <c r="H263">
        <v>23.748999999999999</v>
      </c>
    </row>
    <row r="264" spans="1:8" x14ac:dyDescent="0.3">
      <c r="A264" s="73">
        <v>344</v>
      </c>
      <c r="B264" t="s">
        <v>414</v>
      </c>
      <c r="C264" s="74" t="s">
        <v>132</v>
      </c>
      <c r="D264" t="s">
        <v>112</v>
      </c>
      <c r="E264" t="s">
        <v>125</v>
      </c>
      <c r="F264">
        <v>63.5</v>
      </c>
      <c r="G264" t="s">
        <v>413</v>
      </c>
      <c r="H264">
        <v>23.748999999999999</v>
      </c>
    </row>
    <row r="265" spans="1:8" x14ac:dyDescent="0.3">
      <c r="A265" s="73">
        <v>343</v>
      </c>
      <c r="B265" t="s">
        <v>415</v>
      </c>
      <c r="C265" s="74" t="s">
        <v>111</v>
      </c>
      <c r="D265" t="s">
        <v>112</v>
      </c>
      <c r="E265" t="s">
        <v>113</v>
      </c>
      <c r="F265">
        <v>63.5</v>
      </c>
      <c r="G265" t="s">
        <v>413</v>
      </c>
      <c r="H265">
        <v>23.748999999999999</v>
      </c>
    </row>
    <row r="266" spans="1:8" x14ac:dyDescent="0.3">
      <c r="A266" s="73">
        <v>342</v>
      </c>
      <c r="B266" t="s">
        <v>415</v>
      </c>
      <c r="C266" s="74" t="s">
        <v>111</v>
      </c>
      <c r="D266" t="s">
        <v>112</v>
      </c>
      <c r="E266" t="s">
        <v>113</v>
      </c>
      <c r="F266">
        <v>69.989999999999995</v>
      </c>
      <c r="G266" t="s">
        <v>416</v>
      </c>
      <c r="H266">
        <v>26.176300000000001</v>
      </c>
    </row>
    <row r="267" spans="1:8" x14ac:dyDescent="0.3">
      <c r="A267" s="73">
        <v>341</v>
      </c>
      <c r="B267" t="s">
        <v>417</v>
      </c>
      <c r="C267" s="74" t="s">
        <v>111</v>
      </c>
      <c r="D267" t="s">
        <v>112</v>
      </c>
      <c r="E267" t="s">
        <v>113</v>
      </c>
      <c r="F267">
        <v>69.989999999999995</v>
      </c>
      <c r="G267" t="s">
        <v>416</v>
      </c>
      <c r="H267">
        <v>26.176300000000001</v>
      </c>
    </row>
    <row r="268" spans="1:8" x14ac:dyDescent="0.3">
      <c r="A268" s="73">
        <v>340</v>
      </c>
      <c r="B268" t="s">
        <v>417</v>
      </c>
      <c r="C268" s="74" t="s">
        <v>111</v>
      </c>
      <c r="D268" t="s">
        <v>112</v>
      </c>
      <c r="E268" t="s">
        <v>113</v>
      </c>
      <c r="F268">
        <v>69.989999999999995</v>
      </c>
      <c r="G268" t="s">
        <v>416</v>
      </c>
      <c r="H268">
        <v>26.176300000000001</v>
      </c>
    </row>
    <row r="269" spans="1:8" x14ac:dyDescent="0.3">
      <c r="A269" s="73">
        <v>339</v>
      </c>
      <c r="B269" t="s">
        <v>418</v>
      </c>
      <c r="C269" s="74" t="s">
        <v>111</v>
      </c>
      <c r="D269" t="s">
        <v>112</v>
      </c>
      <c r="E269" t="s">
        <v>113</v>
      </c>
      <c r="F269">
        <v>4.99</v>
      </c>
      <c r="G269" t="s">
        <v>419</v>
      </c>
      <c r="H269">
        <v>1.8663000000000001</v>
      </c>
    </row>
    <row r="270" spans="1:8" x14ac:dyDescent="0.3">
      <c r="A270" s="73">
        <v>338</v>
      </c>
      <c r="B270" t="s">
        <v>418</v>
      </c>
      <c r="C270" s="74" t="s">
        <v>111</v>
      </c>
      <c r="D270" t="s">
        <v>112</v>
      </c>
      <c r="E270" t="s">
        <v>113</v>
      </c>
      <c r="F270">
        <v>9.99</v>
      </c>
      <c r="G270" t="s">
        <v>282</v>
      </c>
      <c r="H270">
        <v>3.7363</v>
      </c>
    </row>
    <row r="271" spans="1:8" x14ac:dyDescent="0.3">
      <c r="A271" s="73">
        <v>337</v>
      </c>
      <c r="B271" t="s">
        <v>420</v>
      </c>
      <c r="C271" s="74" t="s">
        <v>111</v>
      </c>
      <c r="D271" t="s">
        <v>112</v>
      </c>
      <c r="E271" t="s">
        <v>113</v>
      </c>
      <c r="F271">
        <v>8.99</v>
      </c>
      <c r="G271" t="s">
        <v>280</v>
      </c>
      <c r="H271">
        <v>3.3622999999999998</v>
      </c>
    </row>
    <row r="272" spans="1:8" x14ac:dyDescent="0.3">
      <c r="A272" s="73">
        <v>336</v>
      </c>
      <c r="B272" t="s">
        <v>420</v>
      </c>
      <c r="C272" s="74" t="s">
        <v>111</v>
      </c>
      <c r="D272" t="s">
        <v>112</v>
      </c>
      <c r="E272" t="s">
        <v>113</v>
      </c>
      <c r="F272">
        <v>2.29</v>
      </c>
      <c r="G272" t="s">
        <v>421</v>
      </c>
      <c r="H272">
        <v>0.85650000000000004</v>
      </c>
    </row>
    <row r="273" spans="1:8" x14ac:dyDescent="0.3">
      <c r="A273" s="73">
        <v>335</v>
      </c>
      <c r="B273" t="s">
        <v>422</v>
      </c>
      <c r="C273" s="74" t="s">
        <v>111</v>
      </c>
      <c r="D273" t="s">
        <v>112</v>
      </c>
      <c r="E273" t="s">
        <v>113</v>
      </c>
      <c r="F273">
        <v>8.99</v>
      </c>
      <c r="G273" t="s">
        <v>423</v>
      </c>
      <c r="H273">
        <v>3.3622999999999998</v>
      </c>
    </row>
    <row r="274" spans="1:8" x14ac:dyDescent="0.3">
      <c r="A274" s="73">
        <v>334</v>
      </c>
      <c r="B274" t="s">
        <v>422</v>
      </c>
      <c r="C274" s="74" t="s">
        <v>111</v>
      </c>
      <c r="D274" t="s">
        <v>112</v>
      </c>
      <c r="E274" t="s">
        <v>113</v>
      </c>
      <c r="F274">
        <v>8.99</v>
      </c>
      <c r="G274" t="s">
        <v>423</v>
      </c>
      <c r="H274">
        <v>3.3622999999999998</v>
      </c>
    </row>
    <row r="275" spans="1:8" x14ac:dyDescent="0.3">
      <c r="A275" s="73">
        <v>333</v>
      </c>
      <c r="B275" t="s">
        <v>424</v>
      </c>
      <c r="C275" s="74" t="s">
        <v>111</v>
      </c>
      <c r="D275" t="s">
        <v>112</v>
      </c>
      <c r="E275" t="s">
        <v>113</v>
      </c>
      <c r="F275">
        <v>120</v>
      </c>
      <c r="G275" t="s">
        <v>273</v>
      </c>
      <c r="H275">
        <v>44.88</v>
      </c>
    </row>
    <row r="276" spans="1:8" x14ac:dyDescent="0.3">
      <c r="A276" s="73">
        <v>332</v>
      </c>
      <c r="B276" t="s">
        <v>424</v>
      </c>
      <c r="C276" s="74" t="s">
        <v>111</v>
      </c>
      <c r="D276" t="s">
        <v>112</v>
      </c>
      <c r="E276" t="s">
        <v>113</v>
      </c>
      <c r="F276">
        <v>7.95</v>
      </c>
      <c r="G276" t="s">
        <v>425</v>
      </c>
      <c r="H276">
        <v>2.9733000000000001</v>
      </c>
    </row>
    <row r="277" spans="1:8" x14ac:dyDescent="0.3">
      <c r="A277" s="73">
        <v>331</v>
      </c>
      <c r="B277" t="s">
        <v>426</v>
      </c>
      <c r="C277" s="74" t="s">
        <v>385</v>
      </c>
      <c r="D277" t="s">
        <v>112</v>
      </c>
      <c r="E277" t="s">
        <v>113</v>
      </c>
      <c r="F277">
        <v>21.98</v>
      </c>
      <c r="G277" t="s">
        <v>269</v>
      </c>
      <c r="H277">
        <v>8.2204999999999995</v>
      </c>
    </row>
    <row r="278" spans="1:8" x14ac:dyDescent="0.3">
      <c r="A278" s="73">
        <v>330</v>
      </c>
      <c r="B278" t="s">
        <v>426</v>
      </c>
      <c r="C278" s="74" t="s">
        <v>385</v>
      </c>
      <c r="D278" t="s">
        <v>112</v>
      </c>
      <c r="E278" t="s">
        <v>113</v>
      </c>
      <c r="F278">
        <v>159</v>
      </c>
      <c r="G278" t="s">
        <v>267</v>
      </c>
      <c r="H278">
        <v>59.466000000000001</v>
      </c>
    </row>
    <row r="279" spans="1:8" x14ac:dyDescent="0.3">
      <c r="A279" s="73">
        <v>329</v>
      </c>
      <c r="B279" t="s">
        <v>427</v>
      </c>
      <c r="C279" s="74" t="s">
        <v>385</v>
      </c>
      <c r="D279" t="s">
        <v>112</v>
      </c>
      <c r="E279" t="s">
        <v>113</v>
      </c>
      <c r="F279">
        <v>54.99</v>
      </c>
      <c r="G279" t="s">
        <v>428</v>
      </c>
      <c r="H279">
        <v>20.566299999999998</v>
      </c>
    </row>
    <row r="280" spans="1:8" x14ac:dyDescent="0.3">
      <c r="A280" s="73">
        <v>328</v>
      </c>
      <c r="B280" t="s">
        <v>427</v>
      </c>
      <c r="C280" s="74" t="s">
        <v>385</v>
      </c>
      <c r="D280" t="s">
        <v>112</v>
      </c>
      <c r="E280" t="s">
        <v>113</v>
      </c>
      <c r="F280">
        <v>53.99</v>
      </c>
      <c r="G280" t="s">
        <v>429</v>
      </c>
      <c r="H280">
        <v>41.572299999999998</v>
      </c>
    </row>
    <row r="281" spans="1:8" x14ac:dyDescent="0.3">
      <c r="A281" s="73">
        <v>327</v>
      </c>
      <c r="B281" t="s">
        <v>430</v>
      </c>
      <c r="C281" s="74" t="s">
        <v>385</v>
      </c>
      <c r="D281" t="s">
        <v>112</v>
      </c>
      <c r="E281" t="s">
        <v>113</v>
      </c>
      <c r="F281">
        <v>53.99</v>
      </c>
      <c r="G281" t="s">
        <v>429</v>
      </c>
      <c r="H281">
        <v>41.572299999999998</v>
      </c>
    </row>
    <row r="282" spans="1:8" x14ac:dyDescent="0.3">
      <c r="A282" s="73">
        <v>326</v>
      </c>
      <c r="B282" t="s">
        <v>430</v>
      </c>
      <c r="C282" s="74" t="s">
        <v>385</v>
      </c>
      <c r="D282" t="s">
        <v>112</v>
      </c>
      <c r="E282" t="s">
        <v>113</v>
      </c>
      <c r="F282">
        <v>53.99</v>
      </c>
      <c r="G282" t="s">
        <v>429</v>
      </c>
      <c r="H282">
        <v>41.572299999999998</v>
      </c>
    </row>
    <row r="283" spans="1:8" x14ac:dyDescent="0.3">
      <c r="A283" s="73">
        <v>325</v>
      </c>
      <c r="B283" t="s">
        <v>431</v>
      </c>
      <c r="C283" s="74" t="s">
        <v>385</v>
      </c>
      <c r="D283" t="s">
        <v>112</v>
      </c>
      <c r="E283" t="s">
        <v>113</v>
      </c>
      <c r="F283">
        <v>53.99</v>
      </c>
      <c r="G283" t="s">
        <v>429</v>
      </c>
      <c r="H283">
        <v>41.572299999999998</v>
      </c>
    </row>
    <row r="284" spans="1:8" x14ac:dyDescent="0.3">
      <c r="A284" s="73">
        <v>324</v>
      </c>
      <c r="B284" t="s">
        <v>431</v>
      </c>
      <c r="C284" s="74" t="s">
        <v>385</v>
      </c>
      <c r="D284" t="s">
        <v>112</v>
      </c>
      <c r="E284" t="s">
        <v>113</v>
      </c>
      <c r="F284">
        <v>1003.91</v>
      </c>
      <c r="G284" t="s">
        <v>432</v>
      </c>
      <c r="H284">
        <v>601.74369999999999</v>
      </c>
    </row>
    <row r="285" spans="1:8" x14ac:dyDescent="0.3">
      <c r="A285" s="73">
        <v>323</v>
      </c>
      <c r="B285" t="s">
        <v>433</v>
      </c>
      <c r="C285" s="74" t="s">
        <v>385</v>
      </c>
      <c r="D285" t="s">
        <v>112</v>
      </c>
      <c r="E285" t="s">
        <v>113</v>
      </c>
      <c r="F285">
        <v>333.42</v>
      </c>
      <c r="G285" t="s">
        <v>434</v>
      </c>
      <c r="H285">
        <v>199.8519</v>
      </c>
    </row>
    <row r="286" spans="1:8" x14ac:dyDescent="0.3">
      <c r="A286" s="73">
        <v>322</v>
      </c>
      <c r="B286" t="s">
        <v>433</v>
      </c>
      <c r="C286" s="74" t="s">
        <v>385</v>
      </c>
      <c r="D286" t="s">
        <v>112</v>
      </c>
      <c r="E286" t="s">
        <v>113</v>
      </c>
      <c r="F286">
        <v>1003.91</v>
      </c>
      <c r="G286" t="s">
        <v>432</v>
      </c>
      <c r="H286">
        <v>601.74369999999999</v>
      </c>
    </row>
    <row r="287" spans="1:8" x14ac:dyDescent="0.3">
      <c r="A287" s="73">
        <v>321</v>
      </c>
      <c r="B287" t="s">
        <v>435</v>
      </c>
      <c r="C287" s="74" t="s">
        <v>385</v>
      </c>
      <c r="D287" t="s">
        <v>112</v>
      </c>
      <c r="E287" t="s">
        <v>113</v>
      </c>
      <c r="F287">
        <v>1003.91</v>
      </c>
      <c r="G287" t="s">
        <v>432</v>
      </c>
      <c r="H287">
        <v>601.74369999999999</v>
      </c>
    </row>
    <row r="288" spans="1:8" x14ac:dyDescent="0.3">
      <c r="A288" s="73">
        <v>320</v>
      </c>
      <c r="B288" t="s">
        <v>435</v>
      </c>
      <c r="C288" s="74" t="s">
        <v>385</v>
      </c>
      <c r="D288" t="s">
        <v>112</v>
      </c>
      <c r="E288" t="s">
        <v>113</v>
      </c>
      <c r="F288">
        <v>1003.91</v>
      </c>
      <c r="G288" t="s">
        <v>432</v>
      </c>
      <c r="H288">
        <v>601.74369999999999</v>
      </c>
    </row>
    <row r="289" spans="1:8" x14ac:dyDescent="0.3">
      <c r="A289" s="73">
        <v>319</v>
      </c>
      <c r="B289" t="s">
        <v>436</v>
      </c>
      <c r="C289" s="74" t="s">
        <v>385</v>
      </c>
      <c r="D289" t="s">
        <v>112</v>
      </c>
      <c r="E289" t="s">
        <v>113</v>
      </c>
      <c r="F289">
        <v>1003.91</v>
      </c>
      <c r="G289" t="s">
        <v>432</v>
      </c>
      <c r="H289">
        <v>601.74369999999999</v>
      </c>
    </row>
    <row r="290" spans="1:8" x14ac:dyDescent="0.3">
      <c r="A290" s="73">
        <v>318</v>
      </c>
      <c r="B290" t="s">
        <v>437</v>
      </c>
      <c r="C290" s="74" t="s">
        <v>385</v>
      </c>
      <c r="D290" t="s">
        <v>112</v>
      </c>
      <c r="E290" t="s">
        <v>113</v>
      </c>
      <c r="F290">
        <v>1003.91</v>
      </c>
      <c r="G290" t="s">
        <v>432</v>
      </c>
      <c r="H290">
        <v>601.74369999999999</v>
      </c>
    </row>
    <row r="291" spans="1:8" x14ac:dyDescent="0.3">
      <c r="A291" s="73">
        <v>317</v>
      </c>
      <c r="B291" t="s">
        <v>438</v>
      </c>
      <c r="C291" s="74" t="s">
        <v>385</v>
      </c>
      <c r="D291" t="s">
        <v>112</v>
      </c>
      <c r="E291" t="s">
        <v>113</v>
      </c>
      <c r="F291">
        <v>1003.91</v>
      </c>
      <c r="G291" t="s">
        <v>432</v>
      </c>
      <c r="H291">
        <v>601.74369999999999</v>
      </c>
    </row>
    <row r="292" spans="1:8" x14ac:dyDescent="0.3">
      <c r="A292" s="73">
        <v>316</v>
      </c>
      <c r="B292" t="s">
        <v>439</v>
      </c>
      <c r="C292" s="74" t="s">
        <v>385</v>
      </c>
      <c r="D292" t="s">
        <v>112</v>
      </c>
      <c r="E292" t="s">
        <v>113</v>
      </c>
      <c r="F292">
        <v>1003.91</v>
      </c>
      <c r="G292" t="s">
        <v>432</v>
      </c>
      <c r="H292">
        <v>601.74369999999999</v>
      </c>
    </row>
    <row r="293" spans="1:8" x14ac:dyDescent="0.3">
      <c r="A293" s="73">
        <v>315</v>
      </c>
      <c r="B293" t="s">
        <v>440</v>
      </c>
      <c r="C293" s="74" t="s">
        <v>385</v>
      </c>
      <c r="D293" t="s">
        <v>112</v>
      </c>
      <c r="E293" t="s">
        <v>113</v>
      </c>
      <c r="F293">
        <v>121.46</v>
      </c>
      <c r="G293" t="s">
        <v>247</v>
      </c>
      <c r="H293">
        <v>53.928199999999997</v>
      </c>
    </row>
    <row r="294" spans="1:8" x14ac:dyDescent="0.3">
      <c r="A294" s="73">
        <v>314</v>
      </c>
      <c r="B294" t="s">
        <v>441</v>
      </c>
      <c r="C294" s="74" t="s">
        <v>385</v>
      </c>
      <c r="D294" t="s">
        <v>112</v>
      </c>
      <c r="E294" t="s">
        <v>113</v>
      </c>
      <c r="F294">
        <v>333.42</v>
      </c>
      <c r="G294" t="s">
        <v>434</v>
      </c>
      <c r="H294">
        <v>199.8519</v>
      </c>
    </row>
    <row r="295" spans="1:8" x14ac:dyDescent="0.3">
      <c r="A295" s="73">
        <v>313</v>
      </c>
      <c r="B295" t="s">
        <v>442</v>
      </c>
      <c r="C295" s="74" t="s">
        <v>385</v>
      </c>
      <c r="D295" t="s">
        <v>112</v>
      </c>
      <c r="E295" t="s">
        <v>113</v>
      </c>
      <c r="F295">
        <v>333.42</v>
      </c>
      <c r="G295" t="s">
        <v>434</v>
      </c>
      <c r="H295">
        <v>199.8519</v>
      </c>
    </row>
    <row r="296" spans="1:8" x14ac:dyDescent="0.3">
      <c r="A296" s="73">
        <v>312</v>
      </c>
      <c r="B296" t="s">
        <v>443</v>
      </c>
      <c r="C296" s="74" t="s">
        <v>385</v>
      </c>
      <c r="D296" t="s">
        <v>112</v>
      </c>
      <c r="E296" t="s">
        <v>113</v>
      </c>
      <c r="F296">
        <v>333.42</v>
      </c>
      <c r="G296" t="s">
        <v>434</v>
      </c>
      <c r="H296">
        <v>199.8519</v>
      </c>
    </row>
    <row r="297" spans="1:8" x14ac:dyDescent="0.3">
      <c r="A297" s="73">
        <v>311</v>
      </c>
      <c r="B297" t="s">
        <v>444</v>
      </c>
      <c r="C297" s="74" t="s">
        <v>385</v>
      </c>
      <c r="D297" t="s">
        <v>112</v>
      </c>
      <c r="E297" t="s">
        <v>113</v>
      </c>
      <c r="F297">
        <v>333.42</v>
      </c>
      <c r="G297" t="s">
        <v>434</v>
      </c>
      <c r="H297">
        <v>199.8519</v>
      </c>
    </row>
    <row r="298" spans="1:8" x14ac:dyDescent="0.3">
      <c r="A298" s="73">
        <v>310</v>
      </c>
      <c r="B298" t="s">
        <v>445</v>
      </c>
      <c r="C298" s="74" t="s">
        <v>385</v>
      </c>
      <c r="D298" t="s">
        <v>112</v>
      </c>
      <c r="E298" t="s">
        <v>113</v>
      </c>
      <c r="F298">
        <v>333.42</v>
      </c>
      <c r="G298" t="s">
        <v>434</v>
      </c>
      <c r="H298">
        <v>199.8519</v>
      </c>
    </row>
    <row r="299" spans="1:8" x14ac:dyDescent="0.3">
      <c r="A299" s="73">
        <v>309</v>
      </c>
      <c r="B299" t="s">
        <v>446</v>
      </c>
      <c r="C299" s="74" t="s">
        <v>132</v>
      </c>
      <c r="D299" t="s">
        <v>120</v>
      </c>
      <c r="E299" t="s">
        <v>188</v>
      </c>
      <c r="F299">
        <v>333.42</v>
      </c>
      <c r="G299" t="s">
        <v>434</v>
      </c>
      <c r="H299">
        <v>199.8519</v>
      </c>
    </row>
    <row r="300" spans="1:8" x14ac:dyDescent="0.3">
      <c r="A300" s="73">
        <v>308</v>
      </c>
      <c r="B300" t="s">
        <v>446</v>
      </c>
      <c r="C300" s="74" t="s">
        <v>132</v>
      </c>
      <c r="D300" t="s">
        <v>120</v>
      </c>
      <c r="E300" t="s">
        <v>188</v>
      </c>
      <c r="F300">
        <v>333.42</v>
      </c>
      <c r="G300" t="s">
        <v>434</v>
      </c>
      <c r="H300">
        <v>199.8519</v>
      </c>
    </row>
    <row r="301" spans="1:8" x14ac:dyDescent="0.3">
      <c r="A301" s="73">
        <v>307</v>
      </c>
      <c r="B301" t="s">
        <v>446</v>
      </c>
      <c r="C301" s="74" t="s">
        <v>132</v>
      </c>
      <c r="D301" t="s">
        <v>120</v>
      </c>
      <c r="E301" t="s">
        <v>188</v>
      </c>
      <c r="F301">
        <v>333.42</v>
      </c>
      <c r="G301" t="s">
        <v>434</v>
      </c>
      <c r="H301">
        <v>199.8519</v>
      </c>
    </row>
    <row r="302" spans="1:8" x14ac:dyDescent="0.3">
      <c r="A302" s="73">
        <v>306</v>
      </c>
      <c r="B302" t="s">
        <v>447</v>
      </c>
      <c r="C302" s="74" t="s">
        <v>111</v>
      </c>
      <c r="D302" t="s">
        <v>120</v>
      </c>
      <c r="E302" t="s">
        <v>188</v>
      </c>
      <c r="F302">
        <v>333.42</v>
      </c>
      <c r="G302" t="s">
        <v>434</v>
      </c>
      <c r="H302">
        <v>199.8519</v>
      </c>
    </row>
    <row r="303" spans="1:8" x14ac:dyDescent="0.3">
      <c r="A303" s="73">
        <v>305</v>
      </c>
      <c r="B303" t="s">
        <v>447</v>
      </c>
      <c r="C303" s="74" t="s">
        <v>111</v>
      </c>
      <c r="D303" t="s">
        <v>120</v>
      </c>
      <c r="E303" t="s">
        <v>188</v>
      </c>
      <c r="F303">
        <v>364.09</v>
      </c>
      <c r="G303" t="s">
        <v>370</v>
      </c>
      <c r="H303">
        <v>199.37569999999999</v>
      </c>
    </row>
    <row r="304" spans="1:8" x14ac:dyDescent="0.3">
      <c r="A304" s="73">
        <v>304</v>
      </c>
      <c r="B304" t="s">
        <v>447</v>
      </c>
      <c r="C304" s="74" t="s">
        <v>111</v>
      </c>
      <c r="D304" t="s">
        <v>120</v>
      </c>
      <c r="E304" t="s">
        <v>188</v>
      </c>
      <c r="F304">
        <v>364.09</v>
      </c>
      <c r="G304" t="s">
        <v>370</v>
      </c>
      <c r="H304">
        <v>199.37569999999999</v>
      </c>
    </row>
    <row r="305" spans="1:8" x14ac:dyDescent="0.3">
      <c r="A305" s="73">
        <v>303</v>
      </c>
      <c r="B305" t="s">
        <v>448</v>
      </c>
      <c r="C305" s="74" t="s">
        <v>111</v>
      </c>
      <c r="D305" t="s">
        <v>120</v>
      </c>
      <c r="E305" t="s">
        <v>188</v>
      </c>
      <c r="F305">
        <v>364.09</v>
      </c>
      <c r="G305" t="s">
        <v>370</v>
      </c>
      <c r="H305">
        <v>199.37569999999999</v>
      </c>
    </row>
    <row r="306" spans="1:8" x14ac:dyDescent="0.3">
      <c r="A306" s="73">
        <v>302</v>
      </c>
      <c r="B306" t="s">
        <v>448</v>
      </c>
      <c r="C306" s="74" t="s">
        <v>111</v>
      </c>
      <c r="D306" t="s">
        <v>120</v>
      </c>
      <c r="E306" t="s">
        <v>188</v>
      </c>
      <c r="F306">
        <v>106.5</v>
      </c>
      <c r="G306" t="s">
        <v>232</v>
      </c>
      <c r="H306">
        <v>47.286000000000001</v>
      </c>
    </row>
    <row r="307" spans="1:8" x14ac:dyDescent="0.3">
      <c r="A307" s="73">
        <v>301</v>
      </c>
      <c r="B307" t="s">
        <v>448</v>
      </c>
      <c r="C307" s="74" t="s">
        <v>111</v>
      </c>
      <c r="D307" t="s">
        <v>120</v>
      </c>
      <c r="E307" t="s">
        <v>188</v>
      </c>
      <c r="F307">
        <v>27.12</v>
      </c>
      <c r="G307" t="s">
        <v>449</v>
      </c>
      <c r="H307">
        <v>12.0413</v>
      </c>
    </row>
    <row r="308" spans="1:8" x14ac:dyDescent="0.3">
      <c r="A308" s="73">
        <v>300</v>
      </c>
      <c r="B308" t="s">
        <v>450</v>
      </c>
      <c r="C308" s="74" t="s">
        <v>111</v>
      </c>
      <c r="D308" t="s">
        <v>120</v>
      </c>
      <c r="E308" t="s">
        <v>188</v>
      </c>
      <c r="F308">
        <v>39.14</v>
      </c>
      <c r="G308" t="s">
        <v>451</v>
      </c>
      <c r="H308">
        <v>17.3782</v>
      </c>
    </row>
    <row r="309" spans="1:8" x14ac:dyDescent="0.3">
      <c r="A309" s="73">
        <v>299</v>
      </c>
      <c r="B309" t="s">
        <v>452</v>
      </c>
      <c r="C309" s="74" t="s">
        <v>111</v>
      </c>
      <c r="D309" t="s">
        <v>120</v>
      </c>
      <c r="E309" t="s">
        <v>188</v>
      </c>
      <c r="F309">
        <v>52.64</v>
      </c>
      <c r="G309" t="s">
        <v>453</v>
      </c>
      <c r="H309">
        <v>23.372199999999999</v>
      </c>
    </row>
    <row r="310" spans="1:8" x14ac:dyDescent="0.3">
      <c r="A310" s="73">
        <v>298</v>
      </c>
      <c r="B310" t="s">
        <v>454</v>
      </c>
      <c r="C310" s="74" t="s">
        <v>111</v>
      </c>
      <c r="D310" t="s">
        <v>120</v>
      </c>
      <c r="E310" t="s">
        <v>188</v>
      </c>
      <c r="F310">
        <v>27.12</v>
      </c>
      <c r="G310" t="s">
        <v>455</v>
      </c>
      <c r="H310">
        <v>12.0413</v>
      </c>
    </row>
    <row r="311" spans="1:8" x14ac:dyDescent="0.3">
      <c r="A311" s="73">
        <v>297</v>
      </c>
      <c r="B311" t="s">
        <v>454</v>
      </c>
      <c r="C311" s="74" t="s">
        <v>111</v>
      </c>
      <c r="D311" t="s">
        <v>120</v>
      </c>
      <c r="E311" t="s">
        <v>188</v>
      </c>
      <c r="F311">
        <v>39.14</v>
      </c>
      <c r="G311" t="s">
        <v>456</v>
      </c>
      <c r="H311">
        <v>17.3782</v>
      </c>
    </row>
    <row r="312" spans="1:8" x14ac:dyDescent="0.3">
      <c r="A312" s="73">
        <v>296</v>
      </c>
      <c r="B312" t="s">
        <v>454</v>
      </c>
      <c r="C312" s="74" t="s">
        <v>111</v>
      </c>
      <c r="D312" t="s">
        <v>120</v>
      </c>
      <c r="E312" t="s">
        <v>188</v>
      </c>
      <c r="F312">
        <v>52.64</v>
      </c>
      <c r="G312" t="s">
        <v>457</v>
      </c>
      <c r="H312">
        <v>23.372199999999999</v>
      </c>
    </row>
    <row r="313" spans="1:8" x14ac:dyDescent="0.3">
      <c r="A313" s="73">
        <v>295</v>
      </c>
      <c r="B313" t="s">
        <v>458</v>
      </c>
      <c r="C313" s="74" t="s">
        <v>132</v>
      </c>
      <c r="D313" t="s">
        <v>120</v>
      </c>
      <c r="E313" t="s">
        <v>188</v>
      </c>
      <c r="F313">
        <v>27.12</v>
      </c>
      <c r="G313" t="s">
        <v>225</v>
      </c>
      <c r="H313">
        <v>12.0413</v>
      </c>
    </row>
    <row r="314" spans="1:8" x14ac:dyDescent="0.3">
      <c r="A314" s="73">
        <v>294</v>
      </c>
      <c r="B314" t="s">
        <v>458</v>
      </c>
      <c r="C314" s="74" t="s">
        <v>132</v>
      </c>
      <c r="D314" t="s">
        <v>120</v>
      </c>
      <c r="E314" t="s">
        <v>188</v>
      </c>
      <c r="F314">
        <v>39.14</v>
      </c>
      <c r="G314" t="s">
        <v>224</v>
      </c>
      <c r="H314">
        <v>17.3782</v>
      </c>
    </row>
    <row r="315" spans="1:8" x14ac:dyDescent="0.3">
      <c r="A315" s="73">
        <v>293</v>
      </c>
      <c r="B315" t="s">
        <v>458</v>
      </c>
      <c r="C315" s="74" t="s">
        <v>132</v>
      </c>
      <c r="D315" t="s">
        <v>120</v>
      </c>
      <c r="E315" t="s">
        <v>188</v>
      </c>
      <c r="F315">
        <v>52.64</v>
      </c>
      <c r="G315" t="s">
        <v>222</v>
      </c>
      <c r="H315">
        <v>23.372199999999999</v>
      </c>
    </row>
    <row r="316" spans="1:8" x14ac:dyDescent="0.3">
      <c r="A316" s="73">
        <v>292</v>
      </c>
      <c r="B316" t="s">
        <v>459</v>
      </c>
      <c r="C316" s="74" t="s">
        <v>132</v>
      </c>
      <c r="D316" t="s">
        <v>120</v>
      </c>
      <c r="E316" t="s">
        <v>188</v>
      </c>
      <c r="F316">
        <v>264.05</v>
      </c>
      <c r="G316" t="s">
        <v>460</v>
      </c>
      <c r="H316">
        <v>144.59379999999999</v>
      </c>
    </row>
    <row r="317" spans="1:8" x14ac:dyDescent="0.3">
      <c r="A317" s="73">
        <v>291</v>
      </c>
      <c r="B317" t="s">
        <v>461</v>
      </c>
      <c r="C317" s="74" t="s">
        <v>132</v>
      </c>
      <c r="D317" t="s">
        <v>120</v>
      </c>
      <c r="E317" t="s">
        <v>188</v>
      </c>
      <c r="F317">
        <v>264.05</v>
      </c>
      <c r="G317" t="s">
        <v>460</v>
      </c>
      <c r="H317">
        <v>144.59379999999999</v>
      </c>
    </row>
    <row r="318" spans="1:8" x14ac:dyDescent="0.3">
      <c r="A318" s="73">
        <v>290</v>
      </c>
      <c r="B318" t="s">
        <v>462</v>
      </c>
      <c r="C318" s="74" t="s">
        <v>132</v>
      </c>
      <c r="D318" t="s">
        <v>120</v>
      </c>
      <c r="E318" t="s">
        <v>188</v>
      </c>
      <c r="F318">
        <v>264.05</v>
      </c>
      <c r="G318" t="s">
        <v>460</v>
      </c>
      <c r="H318">
        <v>144.59379999999999</v>
      </c>
    </row>
    <row r="319" spans="1:8" x14ac:dyDescent="0.3">
      <c r="A319" s="73">
        <v>289</v>
      </c>
      <c r="B319" t="s">
        <v>462</v>
      </c>
      <c r="C319" s="74" t="s">
        <v>132</v>
      </c>
      <c r="D319" t="s">
        <v>120</v>
      </c>
      <c r="E319" t="s">
        <v>188</v>
      </c>
      <c r="F319">
        <v>264.05</v>
      </c>
      <c r="G319" t="s">
        <v>460</v>
      </c>
      <c r="H319">
        <v>144.59379999999999</v>
      </c>
    </row>
    <row r="320" spans="1:8" x14ac:dyDescent="0.3">
      <c r="A320" s="73">
        <v>288</v>
      </c>
      <c r="B320" t="s">
        <v>462</v>
      </c>
      <c r="C320" s="74" t="s">
        <v>132</v>
      </c>
      <c r="D320" t="s">
        <v>120</v>
      </c>
      <c r="E320" t="s">
        <v>188</v>
      </c>
      <c r="F320">
        <v>4.99</v>
      </c>
      <c r="G320" t="s">
        <v>216</v>
      </c>
      <c r="H320">
        <v>1.8663000000000001</v>
      </c>
    </row>
    <row r="321" spans="1:8" x14ac:dyDescent="0.3">
      <c r="A321" s="73">
        <v>287</v>
      </c>
      <c r="B321" t="s">
        <v>463</v>
      </c>
      <c r="C321" s="74" t="s">
        <v>111</v>
      </c>
      <c r="D321" t="s">
        <v>120</v>
      </c>
      <c r="E321" t="s">
        <v>329</v>
      </c>
      <c r="F321">
        <v>3.99</v>
      </c>
      <c r="G321" t="s">
        <v>215</v>
      </c>
      <c r="H321">
        <v>1.4923</v>
      </c>
    </row>
    <row r="322" spans="1:8" x14ac:dyDescent="0.3">
      <c r="A322" s="73">
        <v>286</v>
      </c>
      <c r="B322" t="s">
        <v>463</v>
      </c>
      <c r="C322" s="74" t="s">
        <v>111</v>
      </c>
      <c r="D322" t="s">
        <v>120</v>
      </c>
      <c r="E322" t="s">
        <v>329</v>
      </c>
      <c r="F322">
        <v>4.99</v>
      </c>
      <c r="G322" t="s">
        <v>214</v>
      </c>
      <c r="H322">
        <v>1.8663000000000001</v>
      </c>
    </row>
    <row r="323" spans="1:8" x14ac:dyDescent="0.3">
      <c r="A323" s="73">
        <v>285</v>
      </c>
      <c r="B323" t="s">
        <v>463</v>
      </c>
      <c r="C323" s="74" t="s">
        <v>111</v>
      </c>
      <c r="D323" t="s">
        <v>120</v>
      </c>
      <c r="E323" t="s">
        <v>329</v>
      </c>
      <c r="F323">
        <v>249.79</v>
      </c>
      <c r="G323" t="s">
        <v>460</v>
      </c>
      <c r="H323">
        <v>136.785</v>
      </c>
    </row>
    <row r="324" spans="1:8" x14ac:dyDescent="0.3">
      <c r="A324" s="73">
        <v>284</v>
      </c>
      <c r="B324" t="s">
        <v>464</v>
      </c>
      <c r="C324" s="74" t="s">
        <v>111</v>
      </c>
      <c r="D324" t="s">
        <v>120</v>
      </c>
      <c r="E324" t="s">
        <v>329</v>
      </c>
      <c r="F324">
        <v>249.79</v>
      </c>
      <c r="G324" t="s">
        <v>460</v>
      </c>
      <c r="H324">
        <v>136.785</v>
      </c>
    </row>
    <row r="325" spans="1:8" x14ac:dyDescent="0.3">
      <c r="A325" s="73">
        <v>283</v>
      </c>
      <c r="B325" t="s">
        <v>464</v>
      </c>
      <c r="C325" s="74" t="s">
        <v>111</v>
      </c>
      <c r="D325" t="s">
        <v>120</v>
      </c>
      <c r="E325" t="s">
        <v>329</v>
      </c>
      <c r="F325">
        <v>249.79</v>
      </c>
      <c r="G325" t="s">
        <v>460</v>
      </c>
      <c r="H325">
        <v>136.785</v>
      </c>
    </row>
    <row r="326" spans="1:8" x14ac:dyDescent="0.3">
      <c r="A326" s="73">
        <v>282</v>
      </c>
      <c r="B326" t="s">
        <v>464</v>
      </c>
      <c r="C326" s="74" t="s">
        <v>111</v>
      </c>
      <c r="D326" t="s">
        <v>120</v>
      </c>
      <c r="E326" t="s">
        <v>329</v>
      </c>
      <c r="F326">
        <v>249.79</v>
      </c>
      <c r="G326" t="s">
        <v>460</v>
      </c>
      <c r="H326">
        <v>136.785</v>
      </c>
    </row>
    <row r="327" spans="1:8" x14ac:dyDescent="0.3">
      <c r="A327" s="73">
        <v>281</v>
      </c>
      <c r="B327" t="s">
        <v>465</v>
      </c>
      <c r="C327" s="74" t="s">
        <v>111</v>
      </c>
      <c r="D327" t="s">
        <v>120</v>
      </c>
      <c r="E327" t="s">
        <v>329</v>
      </c>
      <c r="F327">
        <v>24.99</v>
      </c>
      <c r="G327" t="s">
        <v>209</v>
      </c>
      <c r="H327">
        <v>9.3462999999999994</v>
      </c>
    </row>
    <row r="328" spans="1:8" x14ac:dyDescent="0.3">
      <c r="A328" s="73">
        <v>280</v>
      </c>
      <c r="B328" t="s">
        <v>465</v>
      </c>
      <c r="C328" s="74" t="s">
        <v>111</v>
      </c>
      <c r="D328" t="s">
        <v>120</v>
      </c>
      <c r="E328" t="s">
        <v>329</v>
      </c>
      <c r="F328">
        <v>29.99</v>
      </c>
      <c r="G328" t="s">
        <v>208</v>
      </c>
      <c r="H328">
        <v>11.2163</v>
      </c>
    </row>
    <row r="329" spans="1:8" x14ac:dyDescent="0.3">
      <c r="A329" s="73">
        <v>279</v>
      </c>
      <c r="B329" t="s">
        <v>465</v>
      </c>
      <c r="C329" s="74" t="s">
        <v>111</v>
      </c>
      <c r="D329" t="s">
        <v>120</v>
      </c>
      <c r="E329" t="s">
        <v>329</v>
      </c>
      <c r="F329">
        <v>35</v>
      </c>
      <c r="G329" t="s">
        <v>207</v>
      </c>
      <c r="H329">
        <v>13.09</v>
      </c>
    </row>
    <row r="330" spans="1:8" x14ac:dyDescent="0.3">
      <c r="A330" s="73">
        <v>278</v>
      </c>
      <c r="B330" t="s">
        <v>466</v>
      </c>
      <c r="C330" s="74" t="s">
        <v>385</v>
      </c>
      <c r="D330" t="s">
        <v>120</v>
      </c>
      <c r="E330" t="s">
        <v>329</v>
      </c>
      <c r="F330">
        <v>21.49</v>
      </c>
      <c r="G330" t="s">
        <v>206</v>
      </c>
      <c r="H330">
        <v>8.0373000000000001</v>
      </c>
    </row>
    <row r="331" spans="1:8" x14ac:dyDescent="0.3">
      <c r="A331" s="73">
        <v>277</v>
      </c>
      <c r="B331" t="s">
        <v>467</v>
      </c>
      <c r="C331" s="74" t="s">
        <v>385</v>
      </c>
      <c r="D331" t="s">
        <v>120</v>
      </c>
      <c r="E331" t="s">
        <v>329</v>
      </c>
      <c r="F331">
        <v>24.99</v>
      </c>
      <c r="G331" t="s">
        <v>205</v>
      </c>
      <c r="H331">
        <v>9.3462999999999994</v>
      </c>
    </row>
    <row r="332" spans="1:8" x14ac:dyDescent="0.3">
      <c r="A332" s="73">
        <v>276</v>
      </c>
      <c r="B332" t="s">
        <v>468</v>
      </c>
      <c r="C332" s="74" t="s">
        <v>385</v>
      </c>
      <c r="D332" t="s">
        <v>120</v>
      </c>
      <c r="E332" t="s">
        <v>329</v>
      </c>
      <c r="F332">
        <v>32.6</v>
      </c>
      <c r="G332" t="s">
        <v>204</v>
      </c>
      <c r="H332">
        <v>12.192399999999999</v>
      </c>
    </row>
    <row r="333" spans="1:8" x14ac:dyDescent="0.3">
      <c r="A333" s="73">
        <v>275</v>
      </c>
      <c r="B333" t="s">
        <v>469</v>
      </c>
      <c r="C333" s="74" t="s">
        <v>385</v>
      </c>
      <c r="D333" t="s">
        <v>120</v>
      </c>
      <c r="E333" t="s">
        <v>329</v>
      </c>
      <c r="F333">
        <v>28.99</v>
      </c>
      <c r="G333" t="s">
        <v>201</v>
      </c>
      <c r="H333">
        <v>10.8423</v>
      </c>
    </row>
    <row r="334" spans="1:8" x14ac:dyDescent="0.3">
      <c r="A334" s="73">
        <v>274</v>
      </c>
      <c r="B334" t="s">
        <v>470</v>
      </c>
      <c r="C334" s="74" t="s">
        <v>385</v>
      </c>
      <c r="D334" t="s">
        <v>120</v>
      </c>
      <c r="E334" t="s">
        <v>329</v>
      </c>
      <c r="F334">
        <v>40.49</v>
      </c>
      <c r="G334" t="s">
        <v>199</v>
      </c>
      <c r="H334">
        <v>17.977599999999999</v>
      </c>
    </row>
    <row r="335" spans="1:8" x14ac:dyDescent="0.3">
      <c r="A335" s="73">
        <v>273</v>
      </c>
      <c r="B335" t="s">
        <v>471</v>
      </c>
      <c r="C335" s="74" t="s">
        <v>385</v>
      </c>
      <c r="D335" t="s">
        <v>120</v>
      </c>
      <c r="E335" t="s">
        <v>329</v>
      </c>
      <c r="F335">
        <v>62.09</v>
      </c>
      <c r="G335" t="s">
        <v>198</v>
      </c>
      <c r="H335">
        <v>27.568000000000001</v>
      </c>
    </row>
    <row r="336" spans="1:8" x14ac:dyDescent="0.3">
      <c r="A336" s="73">
        <v>272</v>
      </c>
      <c r="B336" t="s">
        <v>471</v>
      </c>
      <c r="C336" s="74" t="s">
        <v>385</v>
      </c>
      <c r="D336" t="s">
        <v>120</v>
      </c>
      <c r="E336" t="s">
        <v>329</v>
      </c>
      <c r="F336">
        <v>80.989999999999995</v>
      </c>
      <c r="G336" t="s">
        <v>197</v>
      </c>
      <c r="H336">
        <v>35.959600000000002</v>
      </c>
    </row>
    <row r="337" spans="1:8" x14ac:dyDescent="0.3">
      <c r="A337" s="73">
        <v>271</v>
      </c>
      <c r="B337" t="s">
        <v>472</v>
      </c>
      <c r="C337" s="74" t="s">
        <v>385</v>
      </c>
      <c r="D337" t="s">
        <v>120</v>
      </c>
      <c r="E337" t="s">
        <v>329</v>
      </c>
      <c r="F337">
        <v>40.49</v>
      </c>
      <c r="G337" t="s">
        <v>196</v>
      </c>
      <c r="H337">
        <v>17.977599999999999</v>
      </c>
    </row>
    <row r="338" spans="1:8" x14ac:dyDescent="0.3">
      <c r="A338" s="73">
        <v>270</v>
      </c>
      <c r="B338" t="s">
        <v>472</v>
      </c>
      <c r="C338" s="74" t="s">
        <v>385</v>
      </c>
      <c r="D338" t="s">
        <v>120</v>
      </c>
      <c r="E338" t="s">
        <v>329</v>
      </c>
      <c r="F338">
        <v>62.09</v>
      </c>
      <c r="G338" t="s">
        <v>195</v>
      </c>
      <c r="H338">
        <v>27.568000000000001</v>
      </c>
    </row>
    <row r="339" spans="1:8" x14ac:dyDescent="0.3">
      <c r="A339" s="73">
        <v>269</v>
      </c>
      <c r="B339" t="s">
        <v>473</v>
      </c>
      <c r="C339" s="74" t="s">
        <v>385</v>
      </c>
      <c r="D339" t="s">
        <v>120</v>
      </c>
      <c r="E339" t="s">
        <v>329</v>
      </c>
      <c r="F339">
        <v>80.989999999999995</v>
      </c>
      <c r="G339" t="s">
        <v>194</v>
      </c>
      <c r="H339">
        <v>35.959600000000002</v>
      </c>
    </row>
    <row r="340" spans="1:8" x14ac:dyDescent="0.3">
      <c r="A340" s="73">
        <v>268</v>
      </c>
      <c r="B340" t="s">
        <v>473</v>
      </c>
      <c r="C340" s="74" t="s">
        <v>385</v>
      </c>
      <c r="D340" t="s">
        <v>120</v>
      </c>
      <c r="E340" t="s">
        <v>329</v>
      </c>
      <c r="F340">
        <v>80.989999999999995</v>
      </c>
      <c r="G340" t="s">
        <v>191</v>
      </c>
      <c r="H340">
        <v>35.959600000000002</v>
      </c>
    </row>
    <row r="341" spans="1:8" x14ac:dyDescent="0.3">
      <c r="A341" s="73">
        <v>267</v>
      </c>
      <c r="B341" t="s">
        <v>474</v>
      </c>
      <c r="C341" s="74" t="s">
        <v>385</v>
      </c>
      <c r="D341" t="s">
        <v>120</v>
      </c>
      <c r="E341" t="s">
        <v>329</v>
      </c>
      <c r="F341">
        <v>364.09</v>
      </c>
      <c r="G341" t="s">
        <v>370</v>
      </c>
      <c r="H341">
        <v>199.37569999999999</v>
      </c>
    </row>
    <row r="342" spans="1:8" x14ac:dyDescent="0.3">
      <c r="A342" s="73">
        <v>266</v>
      </c>
      <c r="B342" t="s">
        <v>474</v>
      </c>
      <c r="C342" s="74" t="s">
        <v>385</v>
      </c>
      <c r="D342" t="s">
        <v>120</v>
      </c>
      <c r="E342" t="s">
        <v>329</v>
      </c>
      <c r="F342">
        <v>249.79</v>
      </c>
      <c r="G342" t="s">
        <v>460</v>
      </c>
      <c r="H342">
        <v>136.785</v>
      </c>
    </row>
    <row r="343" spans="1:8" x14ac:dyDescent="0.3">
      <c r="A343" s="73">
        <v>265</v>
      </c>
      <c r="B343" t="s">
        <v>475</v>
      </c>
      <c r="C343" s="74" t="s">
        <v>385</v>
      </c>
      <c r="D343" t="s">
        <v>120</v>
      </c>
      <c r="E343" t="s">
        <v>329</v>
      </c>
      <c r="F343">
        <v>264.05</v>
      </c>
      <c r="G343" t="s">
        <v>460</v>
      </c>
      <c r="H343">
        <v>144.59379999999999</v>
      </c>
    </row>
    <row r="344" spans="1:8" x14ac:dyDescent="0.3">
      <c r="A344" s="73">
        <v>264</v>
      </c>
      <c r="B344" t="s">
        <v>475</v>
      </c>
      <c r="C344" s="74" t="s">
        <v>385</v>
      </c>
      <c r="D344" t="s">
        <v>120</v>
      </c>
      <c r="E344" t="s">
        <v>329</v>
      </c>
      <c r="F344">
        <v>91.49</v>
      </c>
      <c r="G344" t="s">
        <v>185</v>
      </c>
      <c r="H344">
        <v>40.621600000000001</v>
      </c>
    </row>
    <row r="345" spans="1:8" x14ac:dyDescent="0.3">
      <c r="A345" s="73">
        <v>263</v>
      </c>
      <c r="B345" t="s">
        <v>476</v>
      </c>
      <c r="C345" s="74" t="s">
        <v>385</v>
      </c>
      <c r="D345" t="s">
        <v>120</v>
      </c>
      <c r="E345" t="s">
        <v>329</v>
      </c>
      <c r="F345">
        <v>46.09</v>
      </c>
      <c r="G345" t="s">
        <v>184</v>
      </c>
      <c r="H345">
        <v>20.463999999999999</v>
      </c>
    </row>
    <row r="346" spans="1:8" x14ac:dyDescent="0.3">
      <c r="A346" s="73">
        <v>262</v>
      </c>
      <c r="B346" t="s">
        <v>476</v>
      </c>
      <c r="C346" s="74" t="s">
        <v>385</v>
      </c>
      <c r="D346" t="s">
        <v>120</v>
      </c>
      <c r="E346" t="s">
        <v>329</v>
      </c>
      <c r="F346">
        <v>91.57</v>
      </c>
      <c r="G346" t="s">
        <v>182</v>
      </c>
      <c r="H346">
        <v>40.6571</v>
      </c>
    </row>
    <row r="347" spans="1:8" x14ac:dyDescent="0.3">
      <c r="A347" s="73">
        <v>261</v>
      </c>
      <c r="B347" t="s">
        <v>477</v>
      </c>
      <c r="C347" s="74" t="s">
        <v>111</v>
      </c>
      <c r="D347" t="s">
        <v>120</v>
      </c>
      <c r="E347" t="s">
        <v>329</v>
      </c>
      <c r="F347">
        <v>106.5</v>
      </c>
      <c r="G347" t="s">
        <v>180</v>
      </c>
      <c r="H347">
        <v>47.286000000000001</v>
      </c>
    </row>
    <row r="348" spans="1:8" x14ac:dyDescent="0.3">
      <c r="A348" s="73">
        <v>260</v>
      </c>
      <c r="B348" t="s">
        <v>477</v>
      </c>
      <c r="C348" s="74" t="s">
        <v>111</v>
      </c>
      <c r="D348" t="s">
        <v>120</v>
      </c>
      <c r="E348" t="s">
        <v>329</v>
      </c>
      <c r="F348">
        <v>175.49</v>
      </c>
      <c r="G348" t="s">
        <v>179</v>
      </c>
      <c r="H348">
        <v>77.917599999999993</v>
      </c>
    </row>
    <row r="349" spans="1:8" x14ac:dyDescent="0.3">
      <c r="A349" s="73">
        <v>259</v>
      </c>
      <c r="B349" t="s">
        <v>477</v>
      </c>
      <c r="C349" s="74" t="s">
        <v>111</v>
      </c>
      <c r="D349" t="s">
        <v>120</v>
      </c>
      <c r="E349" t="s">
        <v>329</v>
      </c>
      <c r="F349">
        <v>256.49</v>
      </c>
      <c r="G349" t="s">
        <v>178</v>
      </c>
      <c r="H349">
        <v>113.88160000000001</v>
      </c>
    </row>
    <row r="350" spans="1:8" x14ac:dyDescent="0.3">
      <c r="A350" s="73">
        <v>258</v>
      </c>
      <c r="B350" t="s">
        <v>478</v>
      </c>
      <c r="C350" s="74" t="s">
        <v>111</v>
      </c>
      <c r="D350" t="s">
        <v>120</v>
      </c>
      <c r="E350" t="s">
        <v>329</v>
      </c>
      <c r="F350">
        <v>404.99</v>
      </c>
      <c r="G350" t="s">
        <v>176</v>
      </c>
      <c r="H350">
        <v>179.81559999999999</v>
      </c>
    </row>
    <row r="351" spans="1:8" x14ac:dyDescent="0.3">
      <c r="A351" s="73">
        <v>257</v>
      </c>
      <c r="B351" t="s">
        <v>478</v>
      </c>
      <c r="C351" s="74" t="s">
        <v>111</v>
      </c>
      <c r="D351" t="s">
        <v>120</v>
      </c>
      <c r="E351" t="s">
        <v>329</v>
      </c>
      <c r="F351">
        <v>20.239999999999998</v>
      </c>
      <c r="G351" t="s">
        <v>174</v>
      </c>
      <c r="H351">
        <v>8.9865999999999993</v>
      </c>
    </row>
    <row r="352" spans="1:8" x14ac:dyDescent="0.3">
      <c r="A352" s="73">
        <v>256</v>
      </c>
      <c r="B352" t="s">
        <v>478</v>
      </c>
      <c r="C352" s="74" t="s">
        <v>111</v>
      </c>
      <c r="D352" t="s">
        <v>120</v>
      </c>
      <c r="E352" t="s">
        <v>329</v>
      </c>
      <c r="F352">
        <v>1214.8499999999999</v>
      </c>
      <c r="G352" t="s">
        <v>479</v>
      </c>
      <c r="H352">
        <v>755.1508</v>
      </c>
    </row>
    <row r="353" spans="1:8" x14ac:dyDescent="0.3">
      <c r="A353" s="73">
        <v>255</v>
      </c>
      <c r="B353" t="s">
        <v>480</v>
      </c>
      <c r="C353" s="74" t="s">
        <v>111</v>
      </c>
      <c r="D353" t="s">
        <v>120</v>
      </c>
      <c r="E353" t="s">
        <v>329</v>
      </c>
      <c r="F353">
        <v>2384.0700000000002</v>
      </c>
      <c r="G353" t="s">
        <v>481</v>
      </c>
      <c r="H353">
        <v>1481.9378999999999</v>
      </c>
    </row>
    <row r="354" spans="1:8" x14ac:dyDescent="0.3">
      <c r="A354" s="73">
        <v>254</v>
      </c>
      <c r="B354" t="s">
        <v>480</v>
      </c>
      <c r="C354" s="74" t="s">
        <v>111</v>
      </c>
      <c r="D354" t="s">
        <v>120</v>
      </c>
      <c r="E354" t="s">
        <v>329</v>
      </c>
      <c r="F354">
        <v>2384.0700000000002</v>
      </c>
      <c r="G354" t="s">
        <v>481</v>
      </c>
      <c r="H354">
        <v>1481.9378999999999</v>
      </c>
    </row>
    <row r="355" spans="1:8" x14ac:dyDescent="0.3">
      <c r="A355" s="73">
        <v>253</v>
      </c>
      <c r="B355" t="s">
        <v>480</v>
      </c>
      <c r="C355" s="74" t="s">
        <v>111</v>
      </c>
      <c r="D355" t="s">
        <v>120</v>
      </c>
      <c r="E355" t="s">
        <v>329</v>
      </c>
      <c r="F355">
        <v>2384.0700000000002</v>
      </c>
      <c r="G355" t="s">
        <v>481</v>
      </c>
      <c r="H355">
        <v>1481.9378999999999</v>
      </c>
    </row>
    <row r="356" spans="1:8" x14ac:dyDescent="0.3">
      <c r="A356" s="73">
        <v>252</v>
      </c>
      <c r="B356" t="s">
        <v>482</v>
      </c>
      <c r="C356" s="74" t="s">
        <v>385</v>
      </c>
      <c r="D356" t="s">
        <v>120</v>
      </c>
      <c r="E356" t="s">
        <v>329</v>
      </c>
      <c r="F356">
        <v>2384.0700000000002</v>
      </c>
      <c r="G356" t="s">
        <v>481</v>
      </c>
      <c r="H356">
        <v>1481.9378999999999</v>
      </c>
    </row>
    <row r="357" spans="1:8" x14ac:dyDescent="0.3">
      <c r="A357" s="73">
        <v>251</v>
      </c>
      <c r="B357" t="s">
        <v>482</v>
      </c>
      <c r="C357" s="74" t="s">
        <v>385</v>
      </c>
      <c r="D357" t="s">
        <v>120</v>
      </c>
      <c r="E357" t="s">
        <v>329</v>
      </c>
      <c r="F357">
        <v>742.35</v>
      </c>
      <c r="G357" t="s">
        <v>483</v>
      </c>
      <c r="H357">
        <v>461.44479999999999</v>
      </c>
    </row>
    <row r="358" spans="1:8" x14ac:dyDescent="0.3">
      <c r="A358" s="73">
        <v>250</v>
      </c>
      <c r="B358" t="s">
        <v>482</v>
      </c>
      <c r="C358" s="74" t="s">
        <v>385</v>
      </c>
      <c r="D358" t="s">
        <v>120</v>
      </c>
      <c r="E358" t="s">
        <v>329</v>
      </c>
      <c r="F358">
        <v>742.35</v>
      </c>
      <c r="G358" t="s">
        <v>483</v>
      </c>
      <c r="H358">
        <v>461.44479999999999</v>
      </c>
    </row>
    <row r="359" spans="1:8" x14ac:dyDescent="0.3">
      <c r="A359" s="73">
        <v>249</v>
      </c>
      <c r="B359" t="s">
        <v>484</v>
      </c>
      <c r="C359" s="74" t="s">
        <v>385</v>
      </c>
      <c r="D359" t="s">
        <v>120</v>
      </c>
      <c r="E359" t="s">
        <v>329</v>
      </c>
      <c r="F359">
        <v>742.35</v>
      </c>
      <c r="G359" t="s">
        <v>483</v>
      </c>
      <c r="H359">
        <v>461.44479999999999</v>
      </c>
    </row>
    <row r="360" spans="1:8" x14ac:dyDescent="0.3">
      <c r="A360" s="73">
        <v>248</v>
      </c>
      <c r="B360" t="s">
        <v>484</v>
      </c>
      <c r="C360" s="74" t="s">
        <v>385</v>
      </c>
      <c r="D360" t="s">
        <v>120</v>
      </c>
      <c r="E360" t="s">
        <v>329</v>
      </c>
      <c r="F360">
        <v>742.35</v>
      </c>
      <c r="G360" t="s">
        <v>483</v>
      </c>
      <c r="H360">
        <v>461.44479999999999</v>
      </c>
    </row>
    <row r="361" spans="1:8" x14ac:dyDescent="0.3">
      <c r="A361" s="73">
        <v>247</v>
      </c>
      <c r="B361" t="s">
        <v>484</v>
      </c>
      <c r="C361" s="74" t="s">
        <v>385</v>
      </c>
      <c r="D361" t="s">
        <v>120</v>
      </c>
      <c r="E361" t="s">
        <v>329</v>
      </c>
      <c r="F361">
        <v>742.35</v>
      </c>
      <c r="G361" t="s">
        <v>483</v>
      </c>
      <c r="H361">
        <v>461.44479999999999</v>
      </c>
    </row>
    <row r="362" spans="1:8" x14ac:dyDescent="0.3">
      <c r="A362" s="73">
        <v>246</v>
      </c>
      <c r="B362" t="s">
        <v>485</v>
      </c>
      <c r="C362" s="74" t="s">
        <v>385</v>
      </c>
      <c r="D362" t="s">
        <v>120</v>
      </c>
      <c r="E362" t="s">
        <v>329</v>
      </c>
      <c r="F362">
        <v>742.35</v>
      </c>
      <c r="G362" t="s">
        <v>483</v>
      </c>
      <c r="H362">
        <v>461.44479999999999</v>
      </c>
    </row>
    <row r="363" spans="1:8" x14ac:dyDescent="0.3">
      <c r="A363" s="73">
        <v>245</v>
      </c>
      <c r="B363" t="s">
        <v>485</v>
      </c>
      <c r="C363" s="74" t="s">
        <v>385</v>
      </c>
      <c r="D363" t="s">
        <v>120</v>
      </c>
      <c r="E363" t="s">
        <v>329</v>
      </c>
      <c r="F363">
        <v>742.35</v>
      </c>
      <c r="G363" t="s">
        <v>483</v>
      </c>
      <c r="H363">
        <v>461.44479999999999</v>
      </c>
    </row>
    <row r="364" spans="1:8" x14ac:dyDescent="0.3">
      <c r="A364" s="73">
        <v>244</v>
      </c>
      <c r="B364" t="s">
        <v>485</v>
      </c>
      <c r="C364" s="74" t="s">
        <v>385</v>
      </c>
      <c r="D364" t="s">
        <v>120</v>
      </c>
      <c r="E364" t="s">
        <v>329</v>
      </c>
      <c r="F364">
        <v>742.35</v>
      </c>
      <c r="G364" t="s">
        <v>483</v>
      </c>
      <c r="H364">
        <v>461.44479999999999</v>
      </c>
    </row>
    <row r="365" spans="1:8" x14ac:dyDescent="0.3">
      <c r="A365" s="73">
        <v>243</v>
      </c>
      <c r="B365" t="s">
        <v>486</v>
      </c>
      <c r="C365" s="74" t="s">
        <v>385</v>
      </c>
      <c r="D365" t="s">
        <v>120</v>
      </c>
      <c r="E365" t="s">
        <v>329</v>
      </c>
      <c r="F365">
        <v>2384.0700000000002</v>
      </c>
      <c r="G365" t="s">
        <v>481</v>
      </c>
      <c r="H365">
        <v>1481.9378999999999</v>
      </c>
    </row>
    <row r="366" spans="1:8" x14ac:dyDescent="0.3">
      <c r="A366" s="73">
        <v>242</v>
      </c>
      <c r="B366" t="s">
        <v>486</v>
      </c>
      <c r="C366" s="74" t="s">
        <v>385</v>
      </c>
      <c r="D366" t="s">
        <v>120</v>
      </c>
      <c r="E366" t="s">
        <v>329</v>
      </c>
      <c r="F366">
        <v>2384.0700000000002</v>
      </c>
      <c r="G366" t="s">
        <v>481</v>
      </c>
      <c r="H366">
        <v>1481.9378999999999</v>
      </c>
    </row>
    <row r="367" spans="1:8" x14ac:dyDescent="0.3">
      <c r="A367" s="73">
        <v>241</v>
      </c>
      <c r="B367" t="s">
        <v>486</v>
      </c>
      <c r="C367" s="74" t="s">
        <v>385</v>
      </c>
      <c r="D367" t="s">
        <v>120</v>
      </c>
      <c r="E367" t="s">
        <v>329</v>
      </c>
      <c r="F367">
        <v>2384.0700000000002</v>
      </c>
      <c r="G367" t="s">
        <v>481</v>
      </c>
      <c r="H367">
        <v>1481.9378999999999</v>
      </c>
    </row>
    <row r="368" spans="1:8" x14ac:dyDescent="0.3">
      <c r="A368" s="73">
        <v>240</v>
      </c>
      <c r="B368" t="s">
        <v>487</v>
      </c>
      <c r="C368" s="74" t="s">
        <v>385</v>
      </c>
      <c r="D368" t="s">
        <v>120</v>
      </c>
      <c r="E368" t="s">
        <v>329</v>
      </c>
      <c r="F368">
        <v>2384.0700000000002</v>
      </c>
      <c r="G368" t="s">
        <v>481</v>
      </c>
      <c r="H368">
        <v>1481.9378999999999</v>
      </c>
    </row>
    <row r="369" spans="1:8" x14ac:dyDescent="0.3">
      <c r="A369" s="73">
        <v>239</v>
      </c>
      <c r="B369" t="s">
        <v>487</v>
      </c>
      <c r="C369" s="74" t="s">
        <v>385</v>
      </c>
      <c r="D369" t="s">
        <v>120</v>
      </c>
      <c r="E369" t="s">
        <v>329</v>
      </c>
      <c r="F369">
        <v>1214.8499999999999</v>
      </c>
      <c r="G369" t="s">
        <v>479</v>
      </c>
      <c r="H369">
        <v>755.1508</v>
      </c>
    </row>
    <row r="370" spans="1:8" x14ac:dyDescent="0.3">
      <c r="A370" s="73">
        <v>238</v>
      </c>
      <c r="B370" t="s">
        <v>487</v>
      </c>
      <c r="C370" s="74" t="s">
        <v>385</v>
      </c>
      <c r="D370" t="s">
        <v>120</v>
      </c>
      <c r="E370" t="s">
        <v>329</v>
      </c>
      <c r="F370">
        <v>1214.8499999999999</v>
      </c>
      <c r="G370" t="s">
        <v>479</v>
      </c>
      <c r="H370">
        <v>755.1508</v>
      </c>
    </row>
    <row r="371" spans="1:8" x14ac:dyDescent="0.3">
      <c r="A371" s="73">
        <v>237</v>
      </c>
      <c r="B371" t="s">
        <v>488</v>
      </c>
      <c r="C371" s="74" t="s">
        <v>302</v>
      </c>
      <c r="D371" t="s">
        <v>260</v>
      </c>
      <c r="E371" t="s">
        <v>261</v>
      </c>
      <c r="F371">
        <v>1214.8499999999999</v>
      </c>
      <c r="G371" t="s">
        <v>479</v>
      </c>
      <c r="H371">
        <v>755.1508</v>
      </c>
    </row>
    <row r="372" spans="1:8" x14ac:dyDescent="0.3">
      <c r="A372" s="73">
        <v>236</v>
      </c>
      <c r="B372" t="s">
        <v>488</v>
      </c>
      <c r="C372" s="74" t="s">
        <v>302</v>
      </c>
      <c r="D372" t="s">
        <v>260</v>
      </c>
      <c r="E372" t="s">
        <v>261</v>
      </c>
      <c r="F372">
        <v>1700.99</v>
      </c>
      <c r="G372" t="s">
        <v>489</v>
      </c>
      <c r="H372">
        <v>1082.51</v>
      </c>
    </row>
    <row r="373" spans="1:8" x14ac:dyDescent="0.3">
      <c r="A373" s="73">
        <v>235</v>
      </c>
      <c r="B373" t="s">
        <v>488</v>
      </c>
      <c r="C373" s="74" t="s">
        <v>302</v>
      </c>
      <c r="D373" t="s">
        <v>260</v>
      </c>
      <c r="E373" t="s">
        <v>261</v>
      </c>
      <c r="F373">
        <v>1700.99</v>
      </c>
      <c r="G373" t="s">
        <v>489</v>
      </c>
      <c r="H373">
        <v>1082.51</v>
      </c>
    </row>
    <row r="374" spans="1:8" x14ac:dyDescent="0.3">
      <c r="A374" s="73">
        <v>234</v>
      </c>
      <c r="B374" t="s">
        <v>490</v>
      </c>
      <c r="C374" s="74" t="s">
        <v>302</v>
      </c>
      <c r="D374" t="s">
        <v>260</v>
      </c>
      <c r="E374" t="s">
        <v>261</v>
      </c>
      <c r="F374">
        <v>1700.99</v>
      </c>
      <c r="G374" t="s">
        <v>489</v>
      </c>
      <c r="H374">
        <v>1082.51</v>
      </c>
    </row>
    <row r="375" spans="1:8" x14ac:dyDescent="0.3">
      <c r="A375" s="73">
        <v>233</v>
      </c>
      <c r="B375" t="s">
        <v>490</v>
      </c>
      <c r="C375" s="74" t="s">
        <v>302</v>
      </c>
      <c r="D375" t="s">
        <v>260</v>
      </c>
      <c r="E375" t="s">
        <v>261</v>
      </c>
      <c r="F375">
        <v>1700.99</v>
      </c>
      <c r="G375" t="s">
        <v>489</v>
      </c>
      <c r="H375">
        <v>1082.51</v>
      </c>
    </row>
    <row r="376" spans="1:8" x14ac:dyDescent="0.3">
      <c r="A376" s="73">
        <v>232</v>
      </c>
      <c r="B376" t="s">
        <v>490</v>
      </c>
      <c r="C376" s="74" t="s">
        <v>302</v>
      </c>
      <c r="D376" t="s">
        <v>260</v>
      </c>
      <c r="E376" t="s">
        <v>261</v>
      </c>
      <c r="F376">
        <v>539.99</v>
      </c>
      <c r="G376" t="s">
        <v>491</v>
      </c>
      <c r="H376">
        <v>343.64960000000002</v>
      </c>
    </row>
    <row r="377" spans="1:8" x14ac:dyDescent="0.3">
      <c r="A377" s="73">
        <v>231</v>
      </c>
      <c r="B377" t="s">
        <v>492</v>
      </c>
      <c r="C377" s="74" t="s">
        <v>302</v>
      </c>
      <c r="D377" t="s">
        <v>260</v>
      </c>
      <c r="E377" t="s">
        <v>261</v>
      </c>
      <c r="F377">
        <v>742.35</v>
      </c>
      <c r="G377" t="s">
        <v>483</v>
      </c>
      <c r="H377">
        <v>461.44479999999999</v>
      </c>
    </row>
    <row r="378" spans="1:8" x14ac:dyDescent="0.3">
      <c r="A378" s="73">
        <v>230</v>
      </c>
      <c r="B378" t="s">
        <v>492</v>
      </c>
      <c r="C378" s="74" t="s">
        <v>302</v>
      </c>
      <c r="D378" t="s">
        <v>260</v>
      </c>
      <c r="E378" t="s">
        <v>261</v>
      </c>
      <c r="F378">
        <v>742.35</v>
      </c>
      <c r="G378" t="s">
        <v>483</v>
      </c>
      <c r="H378">
        <v>461.44479999999999</v>
      </c>
    </row>
    <row r="379" spans="1:8" x14ac:dyDescent="0.3">
      <c r="A379" s="73">
        <v>229</v>
      </c>
      <c r="B379" t="s">
        <v>492</v>
      </c>
      <c r="C379" s="74" t="s">
        <v>302</v>
      </c>
      <c r="D379" t="s">
        <v>260</v>
      </c>
      <c r="E379" t="s">
        <v>261</v>
      </c>
      <c r="F379">
        <v>769.49</v>
      </c>
      <c r="G379" t="s">
        <v>493</v>
      </c>
      <c r="H379">
        <v>419.77839999999998</v>
      </c>
    </row>
    <row r="380" spans="1:8" x14ac:dyDescent="0.3">
      <c r="A380" s="73">
        <v>228</v>
      </c>
      <c r="B380" t="s">
        <v>494</v>
      </c>
      <c r="C380" s="74" t="s">
        <v>302</v>
      </c>
      <c r="D380" t="s">
        <v>260</v>
      </c>
      <c r="E380" t="s">
        <v>261</v>
      </c>
      <c r="F380">
        <v>769.49</v>
      </c>
      <c r="G380" t="s">
        <v>493</v>
      </c>
      <c r="H380">
        <v>419.77839999999998</v>
      </c>
    </row>
    <row r="381" spans="1:8" x14ac:dyDescent="0.3">
      <c r="A381" s="73">
        <v>227</v>
      </c>
      <c r="B381" t="s">
        <v>494</v>
      </c>
      <c r="C381" s="74" t="s">
        <v>302</v>
      </c>
      <c r="D381" t="s">
        <v>260</v>
      </c>
      <c r="E381" t="s">
        <v>261</v>
      </c>
      <c r="F381">
        <v>769.49</v>
      </c>
      <c r="G381" t="s">
        <v>493</v>
      </c>
      <c r="H381">
        <v>419.77839999999998</v>
      </c>
    </row>
    <row r="382" spans="1:8" x14ac:dyDescent="0.3">
      <c r="A382" s="73">
        <v>226</v>
      </c>
      <c r="B382" t="s">
        <v>494</v>
      </c>
      <c r="C382" s="74" t="s">
        <v>302</v>
      </c>
      <c r="D382" t="s">
        <v>260</v>
      </c>
      <c r="E382" t="s">
        <v>261</v>
      </c>
      <c r="F382">
        <v>769.49</v>
      </c>
      <c r="G382" t="s">
        <v>493</v>
      </c>
      <c r="H382">
        <v>419.77839999999998</v>
      </c>
    </row>
    <row r="383" spans="1:8" x14ac:dyDescent="0.3">
      <c r="A383" s="73">
        <v>225</v>
      </c>
      <c r="B383" t="s">
        <v>495</v>
      </c>
      <c r="C383" s="74" t="s">
        <v>302</v>
      </c>
      <c r="D383" t="s">
        <v>260</v>
      </c>
      <c r="E383" t="s">
        <v>496</v>
      </c>
      <c r="F383">
        <v>564.99</v>
      </c>
      <c r="G383" t="s">
        <v>497</v>
      </c>
      <c r="H383">
        <v>308.21789999999999</v>
      </c>
    </row>
    <row r="384" spans="1:8" x14ac:dyDescent="0.3">
      <c r="A384" s="73">
        <v>224</v>
      </c>
      <c r="B384" t="s">
        <v>495</v>
      </c>
      <c r="C384" s="74" t="s">
        <v>302</v>
      </c>
      <c r="D384" t="s">
        <v>260</v>
      </c>
      <c r="E384" t="s">
        <v>496</v>
      </c>
      <c r="F384">
        <v>564.99</v>
      </c>
      <c r="G384" t="s">
        <v>497</v>
      </c>
      <c r="H384">
        <v>308.21789999999999</v>
      </c>
    </row>
    <row r="385" spans="1:8" x14ac:dyDescent="0.3">
      <c r="A385" s="73">
        <v>223</v>
      </c>
      <c r="B385" t="s">
        <v>495</v>
      </c>
      <c r="C385" s="74" t="s">
        <v>302</v>
      </c>
      <c r="D385" t="s">
        <v>260</v>
      </c>
      <c r="E385" t="s">
        <v>496</v>
      </c>
      <c r="F385">
        <v>564.99</v>
      </c>
      <c r="G385" t="s">
        <v>497</v>
      </c>
      <c r="H385">
        <v>308.21789999999999</v>
      </c>
    </row>
    <row r="386" spans="1:8" x14ac:dyDescent="0.3">
      <c r="A386" s="73">
        <v>222</v>
      </c>
      <c r="B386" t="s">
        <v>498</v>
      </c>
      <c r="C386" s="74" t="s">
        <v>144</v>
      </c>
      <c r="D386" t="s">
        <v>202</v>
      </c>
      <c r="E386" t="s">
        <v>499</v>
      </c>
      <c r="F386">
        <v>564.99</v>
      </c>
      <c r="G386" t="s">
        <v>497</v>
      </c>
      <c r="H386">
        <v>308.21789999999999</v>
      </c>
    </row>
    <row r="387" spans="1:8" x14ac:dyDescent="0.3">
      <c r="A387" s="73">
        <v>221</v>
      </c>
      <c r="B387" t="s">
        <v>498</v>
      </c>
      <c r="C387" s="74" t="s">
        <v>144</v>
      </c>
      <c r="D387" t="s">
        <v>202</v>
      </c>
      <c r="E387" t="s">
        <v>499</v>
      </c>
      <c r="F387">
        <v>564.99</v>
      </c>
      <c r="G387" t="s">
        <v>497</v>
      </c>
      <c r="H387">
        <v>308.21789999999999</v>
      </c>
    </row>
    <row r="388" spans="1:8" x14ac:dyDescent="0.3">
      <c r="A388" s="73">
        <v>220</v>
      </c>
      <c r="B388" t="s">
        <v>498</v>
      </c>
      <c r="C388" s="74" t="s">
        <v>144</v>
      </c>
      <c r="D388" t="s">
        <v>202</v>
      </c>
      <c r="E388" t="s">
        <v>499</v>
      </c>
      <c r="F388">
        <v>539.99</v>
      </c>
      <c r="G388" t="s">
        <v>497</v>
      </c>
      <c r="H388">
        <v>294.5797</v>
      </c>
    </row>
    <row r="389" spans="1:8" x14ac:dyDescent="0.3">
      <c r="A389" s="73">
        <v>219</v>
      </c>
      <c r="B389" t="s">
        <v>500</v>
      </c>
      <c r="C389" s="74" t="s">
        <v>276</v>
      </c>
      <c r="D389" t="s">
        <v>260</v>
      </c>
      <c r="E389" t="s">
        <v>277</v>
      </c>
      <c r="F389">
        <v>539.99</v>
      </c>
      <c r="G389" t="s">
        <v>497</v>
      </c>
      <c r="H389">
        <v>294.5797</v>
      </c>
    </row>
    <row r="390" spans="1:8" x14ac:dyDescent="0.3">
      <c r="A390" s="73">
        <v>218</v>
      </c>
      <c r="B390" t="s">
        <v>501</v>
      </c>
      <c r="C390" s="74" t="s">
        <v>276</v>
      </c>
      <c r="D390" t="s">
        <v>260</v>
      </c>
      <c r="E390" t="s">
        <v>277</v>
      </c>
      <c r="F390">
        <v>539.99</v>
      </c>
      <c r="G390" t="s">
        <v>497</v>
      </c>
      <c r="H390">
        <v>294.5797</v>
      </c>
    </row>
    <row r="391" spans="1:8" x14ac:dyDescent="0.3">
      <c r="A391" s="73">
        <v>217</v>
      </c>
      <c r="B391" t="s">
        <v>502</v>
      </c>
      <c r="C391" s="74" t="s">
        <v>111</v>
      </c>
      <c r="D391" t="s">
        <v>202</v>
      </c>
      <c r="E391" t="s">
        <v>499</v>
      </c>
      <c r="F391">
        <v>539.99</v>
      </c>
      <c r="G391" t="s">
        <v>497</v>
      </c>
      <c r="H391">
        <v>294.5797</v>
      </c>
    </row>
    <row r="392" spans="1:8" x14ac:dyDescent="0.3">
      <c r="A392" s="73">
        <v>216</v>
      </c>
      <c r="B392" t="s">
        <v>502</v>
      </c>
      <c r="C392" s="74" t="s">
        <v>111</v>
      </c>
      <c r="D392" t="s">
        <v>202</v>
      </c>
      <c r="E392" t="s">
        <v>499</v>
      </c>
      <c r="F392">
        <v>539.99</v>
      </c>
      <c r="G392" t="s">
        <v>497</v>
      </c>
      <c r="H392">
        <v>294.5797</v>
      </c>
    </row>
    <row r="393" spans="1:8" x14ac:dyDescent="0.3">
      <c r="A393" s="73">
        <v>215</v>
      </c>
      <c r="B393" t="s">
        <v>502</v>
      </c>
      <c r="C393" s="74" t="s">
        <v>111</v>
      </c>
      <c r="D393" t="s">
        <v>202</v>
      </c>
      <c r="E393" t="s">
        <v>499</v>
      </c>
      <c r="F393">
        <v>53.99</v>
      </c>
      <c r="G393" t="s">
        <v>123</v>
      </c>
      <c r="H393">
        <v>23.971599999999999</v>
      </c>
    </row>
    <row r="394" spans="1:8" x14ac:dyDescent="0.3">
      <c r="A394" s="73">
        <v>214</v>
      </c>
      <c r="B394" t="s">
        <v>503</v>
      </c>
      <c r="C394" s="74" t="s">
        <v>385</v>
      </c>
      <c r="D394" t="s">
        <v>202</v>
      </c>
      <c r="E394" t="s">
        <v>499</v>
      </c>
      <c r="F394">
        <v>101.24</v>
      </c>
      <c r="G394" t="s">
        <v>122</v>
      </c>
      <c r="H394">
        <v>44.950600000000001</v>
      </c>
    </row>
    <row r="395" spans="1:8" x14ac:dyDescent="0.3">
      <c r="A395" s="73">
        <v>213</v>
      </c>
      <c r="B395" t="s">
        <v>503</v>
      </c>
      <c r="C395" s="74" t="s">
        <v>385</v>
      </c>
      <c r="D395" t="s">
        <v>202</v>
      </c>
      <c r="E395" t="s">
        <v>499</v>
      </c>
      <c r="F395">
        <v>121.49</v>
      </c>
      <c r="G395" t="s">
        <v>118</v>
      </c>
      <c r="H395">
        <v>53.941600000000001</v>
      </c>
    </row>
    <row r="396" spans="1:8" x14ac:dyDescent="0.3">
      <c r="A396" s="73">
        <v>212</v>
      </c>
      <c r="B396" t="s">
        <v>503</v>
      </c>
      <c r="C396" s="74" t="s">
        <v>385</v>
      </c>
      <c r="D396" t="s">
        <v>202</v>
      </c>
      <c r="E396" t="s">
        <v>499</v>
      </c>
      <c r="F396">
        <v>539.99</v>
      </c>
      <c r="G396" t="s">
        <v>491</v>
      </c>
      <c r="H396">
        <v>343.64960000000002</v>
      </c>
    </row>
    <row r="397" spans="1:8" x14ac:dyDescent="0.3">
      <c r="A397" s="73">
        <v>211</v>
      </c>
      <c r="B397" t="s">
        <v>504</v>
      </c>
      <c r="C397" s="74" t="s">
        <v>385</v>
      </c>
      <c r="D397" t="s">
        <v>120</v>
      </c>
      <c r="E397" t="s">
        <v>329</v>
      </c>
      <c r="F397">
        <v>539.99</v>
      </c>
      <c r="G397" t="s">
        <v>491</v>
      </c>
      <c r="H397">
        <v>343.64960000000002</v>
      </c>
    </row>
    <row r="398" spans="1:8" x14ac:dyDescent="0.3">
      <c r="A398" s="73">
        <v>210</v>
      </c>
      <c r="B398" t="s">
        <v>505</v>
      </c>
      <c r="C398" s="74" t="s">
        <v>111</v>
      </c>
      <c r="D398" t="s">
        <v>120</v>
      </c>
      <c r="E398" t="s">
        <v>329</v>
      </c>
      <c r="F398">
        <v>539.99</v>
      </c>
      <c r="G398" t="s">
        <v>491</v>
      </c>
      <c r="H398">
        <v>343.64960000000002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2F890-B240-4BC2-A5C7-622EFBA22C12}">
  <dimension ref="A1:O398"/>
  <sheetViews>
    <sheetView topLeftCell="D1" workbookViewId="0">
      <selection activeCell="M6" sqref="M6"/>
    </sheetView>
  </sheetViews>
  <sheetFormatPr defaultRowHeight="14.4" x14ac:dyDescent="0.3"/>
  <cols>
    <col min="1" max="1" width="13" bestFit="1" customWidth="1"/>
    <col min="2" max="2" width="29.109375" bestFit="1" customWidth="1"/>
    <col min="3" max="3" width="10.44140625" bestFit="1" customWidth="1"/>
    <col min="4" max="4" width="15.88671875" bestFit="1" customWidth="1"/>
    <col min="5" max="5" width="18.88671875" bestFit="1" customWidth="1"/>
    <col min="6" max="6" width="10.5546875" bestFit="1" customWidth="1"/>
    <col min="7" max="7" width="23.77734375" bestFit="1" customWidth="1"/>
    <col min="8" max="8" width="15" bestFit="1" customWidth="1"/>
    <col min="9" max="9" width="10.77734375" bestFit="1" customWidth="1"/>
    <col min="10" max="10" width="13.33203125" bestFit="1" customWidth="1"/>
    <col min="11" max="11" width="16" bestFit="1" customWidth="1"/>
    <col min="12" max="12" width="10.77734375" bestFit="1" customWidth="1"/>
    <col min="13" max="13" width="16.21875" bestFit="1" customWidth="1"/>
    <col min="14" max="14" width="12.109375" bestFit="1" customWidth="1"/>
    <col min="15" max="15" width="13.88671875" bestFit="1" customWidth="1"/>
    <col min="16" max="16" width="14" bestFit="1" customWidth="1"/>
  </cols>
  <sheetData>
    <row r="1" spans="1:15" x14ac:dyDescent="0.3">
      <c r="A1" t="s">
        <v>102</v>
      </c>
      <c r="B1" t="s">
        <v>103</v>
      </c>
      <c r="C1" t="s">
        <v>104</v>
      </c>
      <c r="D1" t="s">
        <v>105</v>
      </c>
      <c r="E1" t="s">
        <v>106</v>
      </c>
      <c r="F1" t="s">
        <v>107</v>
      </c>
      <c r="G1" t="s">
        <v>108</v>
      </c>
      <c r="H1" t="s">
        <v>109</v>
      </c>
    </row>
    <row r="2" spans="1:15" x14ac:dyDescent="0.3">
      <c r="A2">
        <v>606</v>
      </c>
      <c r="B2" t="s">
        <v>110</v>
      </c>
      <c r="C2" t="s">
        <v>111</v>
      </c>
      <c r="D2" t="s">
        <v>112</v>
      </c>
      <c r="E2" t="s">
        <v>113</v>
      </c>
      <c r="F2">
        <v>1431.5</v>
      </c>
      <c r="G2" t="s">
        <v>114</v>
      </c>
      <c r="H2">
        <v>868.63419999999996</v>
      </c>
    </row>
    <row r="3" spans="1:15" x14ac:dyDescent="0.3">
      <c r="A3">
        <v>605</v>
      </c>
      <c r="B3" t="s">
        <v>115</v>
      </c>
      <c r="C3" t="s">
        <v>111</v>
      </c>
      <c r="D3" t="s">
        <v>112</v>
      </c>
      <c r="E3" t="s">
        <v>113</v>
      </c>
      <c r="F3">
        <v>1431.5</v>
      </c>
      <c r="G3" t="s">
        <v>114</v>
      </c>
      <c r="H3">
        <v>868.63419999999996</v>
      </c>
    </row>
    <row r="4" spans="1:15" x14ac:dyDescent="0.3">
      <c r="A4">
        <v>604</v>
      </c>
      <c r="B4" t="s">
        <v>116</v>
      </c>
      <c r="C4" t="s">
        <v>111</v>
      </c>
      <c r="D4" t="s">
        <v>112</v>
      </c>
      <c r="E4" t="s">
        <v>113</v>
      </c>
      <c r="F4">
        <v>33.644199999999998</v>
      </c>
      <c r="G4" t="s">
        <v>117</v>
      </c>
      <c r="H4">
        <v>12.027799999999999</v>
      </c>
    </row>
    <row r="5" spans="1:15" x14ac:dyDescent="0.3">
      <c r="A5">
        <v>603</v>
      </c>
      <c r="B5" t="s">
        <v>118</v>
      </c>
      <c r="C5" t="s">
        <v>119</v>
      </c>
      <c r="D5" t="s">
        <v>120</v>
      </c>
      <c r="E5" t="s">
        <v>121</v>
      </c>
      <c r="F5">
        <v>33.644199999999998</v>
      </c>
      <c r="G5" t="s">
        <v>117</v>
      </c>
      <c r="H5">
        <v>13.8782</v>
      </c>
    </row>
    <row r="6" spans="1:15" x14ac:dyDescent="0.3">
      <c r="A6">
        <v>602</v>
      </c>
      <c r="B6" t="s">
        <v>122</v>
      </c>
      <c r="C6" t="s">
        <v>119</v>
      </c>
      <c r="D6" t="s">
        <v>120</v>
      </c>
      <c r="E6" t="s">
        <v>121</v>
      </c>
      <c r="F6">
        <v>34.99</v>
      </c>
      <c r="G6" t="s">
        <v>117</v>
      </c>
      <c r="H6">
        <v>13.0863</v>
      </c>
      <c r="M6" s="31" t="s">
        <v>84</v>
      </c>
      <c r="N6" t="s">
        <v>514</v>
      </c>
      <c r="O6" t="s">
        <v>515</v>
      </c>
    </row>
    <row r="7" spans="1:15" x14ac:dyDescent="0.3">
      <c r="A7">
        <v>601</v>
      </c>
      <c r="B7" t="s">
        <v>123</v>
      </c>
      <c r="C7" t="s">
        <v>119</v>
      </c>
      <c r="D7" t="s">
        <v>120</v>
      </c>
      <c r="E7" t="s">
        <v>121</v>
      </c>
      <c r="F7">
        <v>33.644199999999998</v>
      </c>
      <c r="G7" t="s">
        <v>117</v>
      </c>
      <c r="H7">
        <v>12.027799999999999</v>
      </c>
      <c r="M7" s="32" t="s">
        <v>30</v>
      </c>
      <c r="N7" s="121">
        <v>1581</v>
      </c>
      <c r="O7" s="121">
        <v>7378</v>
      </c>
    </row>
    <row r="8" spans="1:15" x14ac:dyDescent="0.3">
      <c r="A8">
        <v>600</v>
      </c>
      <c r="B8" t="s">
        <v>124</v>
      </c>
      <c r="C8" t="s">
        <v>111</v>
      </c>
      <c r="D8" t="s">
        <v>112</v>
      </c>
      <c r="E8" t="s">
        <v>125</v>
      </c>
      <c r="F8">
        <v>33.644199999999998</v>
      </c>
      <c r="G8" t="s">
        <v>117</v>
      </c>
      <c r="H8">
        <v>13.8782</v>
      </c>
      <c r="M8" s="32" t="s">
        <v>36</v>
      </c>
      <c r="N8" s="121">
        <v>1884</v>
      </c>
      <c r="O8" s="121">
        <v>8792</v>
      </c>
    </row>
    <row r="9" spans="1:15" x14ac:dyDescent="0.3">
      <c r="A9">
        <v>599</v>
      </c>
      <c r="B9" t="s">
        <v>126</v>
      </c>
      <c r="C9" t="s">
        <v>111</v>
      </c>
      <c r="D9" t="s">
        <v>112</v>
      </c>
      <c r="E9" t="s">
        <v>125</v>
      </c>
      <c r="F9">
        <v>34.99</v>
      </c>
      <c r="G9" t="s">
        <v>117</v>
      </c>
      <c r="H9">
        <v>13.0863</v>
      </c>
      <c r="M9" s="32" t="s">
        <v>34</v>
      </c>
      <c r="N9" s="121">
        <v>2871</v>
      </c>
      <c r="O9" s="121">
        <v>13398</v>
      </c>
    </row>
    <row r="10" spans="1:15" x14ac:dyDescent="0.3">
      <c r="A10">
        <v>598</v>
      </c>
      <c r="B10" t="s">
        <v>127</v>
      </c>
      <c r="C10" t="s">
        <v>111</v>
      </c>
      <c r="D10" t="s">
        <v>112</v>
      </c>
      <c r="E10" t="s">
        <v>125</v>
      </c>
      <c r="F10">
        <v>9.5</v>
      </c>
      <c r="G10" t="s">
        <v>128</v>
      </c>
      <c r="H10">
        <v>3.3963000000000001</v>
      </c>
      <c r="M10" s="32" t="s">
        <v>12</v>
      </c>
      <c r="N10" s="121">
        <v>1884</v>
      </c>
      <c r="O10" s="121">
        <v>8792</v>
      </c>
    </row>
    <row r="11" spans="1:15" x14ac:dyDescent="0.3">
      <c r="A11">
        <v>597</v>
      </c>
      <c r="B11" t="s">
        <v>129</v>
      </c>
      <c r="C11" t="s">
        <v>111</v>
      </c>
      <c r="D11" t="s">
        <v>112</v>
      </c>
      <c r="E11" t="s">
        <v>125</v>
      </c>
      <c r="F11">
        <v>9.5</v>
      </c>
      <c r="G11" t="s">
        <v>128</v>
      </c>
      <c r="H11">
        <v>3.3963000000000001</v>
      </c>
      <c r="M11" s="32" t="s">
        <v>58</v>
      </c>
      <c r="N11" s="121">
        <v>3771</v>
      </c>
      <c r="O11" s="121">
        <v>17598</v>
      </c>
    </row>
    <row r="12" spans="1:15" x14ac:dyDescent="0.3">
      <c r="A12">
        <v>596</v>
      </c>
      <c r="B12" t="s">
        <v>130</v>
      </c>
      <c r="C12" t="s">
        <v>111</v>
      </c>
      <c r="D12" t="s">
        <v>112</v>
      </c>
      <c r="E12" t="s">
        <v>125</v>
      </c>
      <c r="F12">
        <v>33.644199999999998</v>
      </c>
      <c r="G12" t="s">
        <v>117</v>
      </c>
      <c r="H12">
        <v>12.027799999999999</v>
      </c>
      <c r="M12" s="32" t="s">
        <v>13</v>
      </c>
      <c r="N12" s="121">
        <v>3000</v>
      </c>
      <c r="O12" s="121">
        <v>14000</v>
      </c>
    </row>
    <row r="13" spans="1:15" x14ac:dyDescent="0.3">
      <c r="A13">
        <v>595</v>
      </c>
      <c r="B13" t="s">
        <v>131</v>
      </c>
      <c r="C13" t="s">
        <v>132</v>
      </c>
      <c r="D13" t="s">
        <v>112</v>
      </c>
      <c r="E13" t="s">
        <v>125</v>
      </c>
      <c r="F13">
        <v>33.644199999999998</v>
      </c>
      <c r="G13" t="s">
        <v>117</v>
      </c>
      <c r="H13">
        <v>13.8782</v>
      </c>
      <c r="M13" s="32" t="s">
        <v>35</v>
      </c>
      <c r="N13" s="121">
        <v>3315</v>
      </c>
      <c r="O13" s="121">
        <v>15470</v>
      </c>
    </row>
    <row r="14" spans="1:15" x14ac:dyDescent="0.3">
      <c r="A14">
        <v>594</v>
      </c>
      <c r="B14" t="s">
        <v>133</v>
      </c>
      <c r="C14" t="s">
        <v>132</v>
      </c>
      <c r="D14" t="s">
        <v>112</v>
      </c>
      <c r="E14" t="s">
        <v>125</v>
      </c>
      <c r="F14">
        <v>34.99</v>
      </c>
      <c r="G14" t="s">
        <v>117</v>
      </c>
      <c r="H14">
        <v>13.0863</v>
      </c>
      <c r="M14" s="32" t="s">
        <v>9</v>
      </c>
      <c r="N14" s="121">
        <v>1275</v>
      </c>
      <c r="O14" s="121">
        <v>5950</v>
      </c>
    </row>
    <row r="15" spans="1:15" x14ac:dyDescent="0.3">
      <c r="A15">
        <v>593</v>
      </c>
      <c r="B15" t="s">
        <v>134</v>
      </c>
      <c r="C15" t="s">
        <v>132</v>
      </c>
      <c r="D15" t="s">
        <v>112</v>
      </c>
      <c r="E15" t="s">
        <v>125</v>
      </c>
      <c r="F15">
        <v>8.6441999999999997</v>
      </c>
      <c r="G15" t="s">
        <v>135</v>
      </c>
      <c r="H15">
        <v>5.7051999999999996</v>
      </c>
      <c r="M15" s="32" t="s">
        <v>31</v>
      </c>
      <c r="N15" s="121">
        <v>1674</v>
      </c>
      <c r="O15" s="121">
        <v>7812</v>
      </c>
    </row>
    <row r="16" spans="1:15" x14ac:dyDescent="0.3">
      <c r="A16">
        <v>592</v>
      </c>
      <c r="B16" t="s">
        <v>136</v>
      </c>
      <c r="C16" t="s">
        <v>132</v>
      </c>
      <c r="D16" t="s">
        <v>112</v>
      </c>
      <c r="E16" t="s">
        <v>125</v>
      </c>
      <c r="F16">
        <v>8.6441999999999997</v>
      </c>
      <c r="G16" t="s">
        <v>135</v>
      </c>
      <c r="H16">
        <v>5.2297000000000002</v>
      </c>
      <c r="M16" s="32" t="s">
        <v>10</v>
      </c>
      <c r="N16" s="121">
        <v>975</v>
      </c>
      <c r="O16" s="121">
        <v>4550</v>
      </c>
    </row>
    <row r="17" spans="1:15" x14ac:dyDescent="0.3">
      <c r="A17">
        <v>591</v>
      </c>
      <c r="B17" t="s">
        <v>137</v>
      </c>
      <c r="C17" t="s">
        <v>132</v>
      </c>
      <c r="D17" t="s">
        <v>112</v>
      </c>
      <c r="E17" t="s">
        <v>125</v>
      </c>
      <c r="F17">
        <v>8.99</v>
      </c>
      <c r="G17" t="s">
        <v>135</v>
      </c>
      <c r="H17">
        <v>6.9222999999999999</v>
      </c>
      <c r="M17" s="32" t="s">
        <v>57</v>
      </c>
      <c r="N17" s="121">
        <v>1359</v>
      </c>
      <c r="O17" s="121">
        <v>6342</v>
      </c>
    </row>
    <row r="18" spans="1:15" x14ac:dyDescent="0.3">
      <c r="A18">
        <v>590</v>
      </c>
      <c r="B18" t="s">
        <v>138</v>
      </c>
      <c r="C18" t="s">
        <v>132</v>
      </c>
      <c r="D18" t="s">
        <v>112</v>
      </c>
      <c r="E18" t="s">
        <v>125</v>
      </c>
      <c r="F18">
        <v>48.067300000000003</v>
      </c>
      <c r="G18" t="s">
        <v>139</v>
      </c>
      <c r="H18">
        <v>31.724399999999999</v>
      </c>
      <c r="M18" s="32" t="s">
        <v>8</v>
      </c>
      <c r="N18" s="121">
        <v>105</v>
      </c>
      <c r="O18" s="121">
        <v>490</v>
      </c>
    </row>
    <row r="19" spans="1:15" x14ac:dyDescent="0.3">
      <c r="A19">
        <v>589</v>
      </c>
      <c r="B19" t="s">
        <v>140</v>
      </c>
      <c r="C19" t="s">
        <v>132</v>
      </c>
      <c r="D19" t="s">
        <v>112</v>
      </c>
      <c r="E19" t="s">
        <v>125</v>
      </c>
      <c r="F19">
        <v>48.067300000000003</v>
      </c>
      <c r="G19" t="s">
        <v>139</v>
      </c>
      <c r="H19">
        <v>29.0807</v>
      </c>
      <c r="M19" s="32" t="s">
        <v>59</v>
      </c>
      <c r="N19" s="121">
        <v>2556</v>
      </c>
      <c r="O19" s="121">
        <v>11928</v>
      </c>
    </row>
    <row r="20" spans="1:15" x14ac:dyDescent="0.3">
      <c r="A20">
        <v>588</v>
      </c>
      <c r="B20" t="s">
        <v>141</v>
      </c>
      <c r="C20" t="s">
        <v>132</v>
      </c>
      <c r="D20" t="s">
        <v>112</v>
      </c>
      <c r="E20" t="s">
        <v>125</v>
      </c>
      <c r="F20">
        <v>49.99</v>
      </c>
      <c r="G20" t="s">
        <v>139</v>
      </c>
      <c r="H20">
        <v>38.4923</v>
      </c>
      <c r="M20" s="32" t="s">
        <v>6</v>
      </c>
      <c r="N20" s="121">
        <v>2874</v>
      </c>
      <c r="O20" s="121">
        <v>13412</v>
      </c>
    </row>
    <row r="21" spans="1:15" x14ac:dyDescent="0.3">
      <c r="A21">
        <v>587</v>
      </c>
      <c r="B21" t="s">
        <v>142</v>
      </c>
      <c r="C21" t="s">
        <v>132</v>
      </c>
      <c r="D21" t="s">
        <v>112</v>
      </c>
      <c r="E21" t="s">
        <v>125</v>
      </c>
      <c r="F21">
        <v>48.067300000000003</v>
      </c>
      <c r="G21" t="s">
        <v>139</v>
      </c>
      <c r="H21">
        <v>31.724399999999999</v>
      </c>
      <c r="M21" s="32" t="s">
        <v>7</v>
      </c>
      <c r="N21" s="121">
        <v>1455</v>
      </c>
      <c r="O21" s="121">
        <v>6790</v>
      </c>
    </row>
    <row r="22" spans="1:15" x14ac:dyDescent="0.3">
      <c r="A22">
        <v>586</v>
      </c>
      <c r="B22" t="s">
        <v>143</v>
      </c>
      <c r="C22" t="s">
        <v>144</v>
      </c>
      <c r="D22" t="s">
        <v>112</v>
      </c>
      <c r="E22" t="s">
        <v>145</v>
      </c>
      <c r="F22">
        <v>48.067300000000003</v>
      </c>
      <c r="G22" t="s">
        <v>139</v>
      </c>
      <c r="H22">
        <v>29.0807</v>
      </c>
      <c r="M22" s="32" t="s">
        <v>11</v>
      </c>
      <c r="N22" s="121">
        <v>684</v>
      </c>
      <c r="O22" s="121">
        <v>3192</v>
      </c>
    </row>
    <row r="23" spans="1:15" x14ac:dyDescent="0.3">
      <c r="A23">
        <v>585</v>
      </c>
      <c r="B23" t="s">
        <v>146</v>
      </c>
      <c r="C23" t="s">
        <v>144</v>
      </c>
      <c r="D23" t="s">
        <v>112</v>
      </c>
      <c r="E23" t="s">
        <v>145</v>
      </c>
      <c r="F23">
        <v>49.99</v>
      </c>
      <c r="G23" t="s">
        <v>139</v>
      </c>
      <c r="H23">
        <v>38.4923</v>
      </c>
      <c r="M23" s="32" t="s">
        <v>517</v>
      </c>
      <c r="N23" s="121"/>
      <c r="O23" s="121"/>
    </row>
    <row r="24" spans="1:15" x14ac:dyDescent="0.3">
      <c r="A24">
        <v>584</v>
      </c>
      <c r="B24" t="s">
        <v>147</v>
      </c>
      <c r="C24" t="s">
        <v>111</v>
      </c>
      <c r="D24" t="s">
        <v>112</v>
      </c>
      <c r="E24" t="s">
        <v>113</v>
      </c>
      <c r="F24">
        <v>48.067300000000003</v>
      </c>
      <c r="G24" t="s">
        <v>139</v>
      </c>
      <c r="H24">
        <v>31.724399999999999</v>
      </c>
      <c r="M24" s="32" t="s">
        <v>85</v>
      </c>
      <c r="N24" s="121">
        <v>31263</v>
      </c>
      <c r="O24" s="121">
        <v>145894</v>
      </c>
    </row>
    <row r="25" spans="1:15" x14ac:dyDescent="0.3">
      <c r="A25">
        <v>583</v>
      </c>
      <c r="B25" t="s">
        <v>148</v>
      </c>
      <c r="C25" t="s">
        <v>149</v>
      </c>
      <c r="D25" t="s">
        <v>112</v>
      </c>
      <c r="E25" t="s">
        <v>113</v>
      </c>
      <c r="F25">
        <v>48.067300000000003</v>
      </c>
      <c r="G25" t="s">
        <v>139</v>
      </c>
      <c r="H25">
        <v>29.0807</v>
      </c>
    </row>
    <row r="26" spans="1:15" x14ac:dyDescent="0.3">
      <c r="A26">
        <v>582</v>
      </c>
      <c r="B26" t="s">
        <v>150</v>
      </c>
      <c r="C26" t="s">
        <v>149</v>
      </c>
      <c r="D26" t="s">
        <v>112</v>
      </c>
      <c r="E26" t="s">
        <v>113</v>
      </c>
      <c r="F26">
        <v>49.99</v>
      </c>
      <c r="G26" t="s">
        <v>139</v>
      </c>
      <c r="H26">
        <v>38.4923</v>
      </c>
    </row>
    <row r="27" spans="1:15" x14ac:dyDescent="0.3">
      <c r="A27">
        <v>581</v>
      </c>
      <c r="B27" t="s">
        <v>151</v>
      </c>
      <c r="C27" t="s">
        <v>149</v>
      </c>
      <c r="D27" t="s">
        <v>112</v>
      </c>
      <c r="E27" t="s">
        <v>113</v>
      </c>
      <c r="F27">
        <v>48.067300000000003</v>
      </c>
      <c r="G27" t="s">
        <v>139</v>
      </c>
      <c r="H27">
        <v>31.724399999999999</v>
      </c>
    </row>
    <row r="28" spans="1:15" x14ac:dyDescent="0.3">
      <c r="A28">
        <v>580</v>
      </c>
      <c r="B28" t="s">
        <v>152</v>
      </c>
      <c r="C28" t="s">
        <v>149</v>
      </c>
      <c r="D28" t="s">
        <v>112</v>
      </c>
      <c r="E28" t="s">
        <v>113</v>
      </c>
      <c r="F28">
        <v>48.067300000000003</v>
      </c>
      <c r="G28" t="s">
        <v>139</v>
      </c>
      <c r="H28">
        <v>29.0807</v>
      </c>
    </row>
    <row r="29" spans="1:15" x14ac:dyDescent="0.3">
      <c r="A29">
        <v>579</v>
      </c>
      <c r="B29" t="s">
        <v>153</v>
      </c>
      <c r="C29" t="s">
        <v>144</v>
      </c>
      <c r="D29" t="s">
        <v>112</v>
      </c>
      <c r="E29" t="s">
        <v>145</v>
      </c>
      <c r="F29">
        <v>49.99</v>
      </c>
      <c r="G29" t="s">
        <v>139</v>
      </c>
      <c r="H29">
        <v>38.4923</v>
      </c>
    </row>
    <row r="30" spans="1:15" x14ac:dyDescent="0.3">
      <c r="A30">
        <v>578</v>
      </c>
      <c r="B30" t="s">
        <v>154</v>
      </c>
      <c r="C30" t="s">
        <v>144</v>
      </c>
      <c r="D30" t="s">
        <v>112</v>
      </c>
      <c r="E30" t="s">
        <v>145</v>
      </c>
      <c r="F30">
        <v>1263.4598000000001</v>
      </c>
      <c r="G30" t="s">
        <v>114</v>
      </c>
      <c r="H30">
        <v>747.96820000000002</v>
      </c>
    </row>
    <row r="31" spans="1:15" x14ac:dyDescent="0.3">
      <c r="A31">
        <v>577</v>
      </c>
      <c r="B31" t="s">
        <v>155</v>
      </c>
      <c r="C31" t="s">
        <v>144</v>
      </c>
      <c r="D31" t="s">
        <v>112</v>
      </c>
      <c r="E31" t="s">
        <v>145</v>
      </c>
      <c r="F31">
        <v>1301.3635999999999</v>
      </c>
      <c r="G31" t="s">
        <v>114</v>
      </c>
      <c r="H31">
        <v>722.2568</v>
      </c>
    </row>
    <row r="32" spans="1:15" x14ac:dyDescent="0.3">
      <c r="A32">
        <v>576</v>
      </c>
      <c r="B32" t="s">
        <v>156</v>
      </c>
      <c r="C32" t="s">
        <v>144</v>
      </c>
      <c r="D32" t="s">
        <v>112</v>
      </c>
      <c r="E32" t="s">
        <v>145</v>
      </c>
      <c r="F32">
        <v>1431.5</v>
      </c>
      <c r="G32" t="s">
        <v>114</v>
      </c>
      <c r="H32">
        <v>868.63419999999996</v>
      </c>
    </row>
    <row r="33" spans="1:8" x14ac:dyDescent="0.3">
      <c r="A33">
        <v>575</v>
      </c>
      <c r="B33" t="s">
        <v>157</v>
      </c>
      <c r="C33" t="s">
        <v>144</v>
      </c>
      <c r="D33" t="s">
        <v>112</v>
      </c>
      <c r="E33" t="s">
        <v>145</v>
      </c>
      <c r="F33">
        <v>1263.4598000000001</v>
      </c>
      <c r="G33" t="s">
        <v>114</v>
      </c>
      <c r="H33">
        <v>747.96820000000002</v>
      </c>
    </row>
    <row r="34" spans="1:8" x14ac:dyDescent="0.3">
      <c r="A34">
        <v>574</v>
      </c>
      <c r="B34" t="s">
        <v>158</v>
      </c>
      <c r="C34" t="s">
        <v>144</v>
      </c>
      <c r="D34" t="s">
        <v>112</v>
      </c>
      <c r="E34" t="s">
        <v>145</v>
      </c>
      <c r="F34">
        <v>1301.3635999999999</v>
      </c>
      <c r="G34" t="s">
        <v>114</v>
      </c>
      <c r="H34">
        <v>722.2568</v>
      </c>
    </row>
    <row r="35" spans="1:8" x14ac:dyDescent="0.3">
      <c r="A35">
        <v>573</v>
      </c>
      <c r="B35" t="s">
        <v>159</v>
      </c>
      <c r="C35" t="s">
        <v>144</v>
      </c>
      <c r="D35" t="s">
        <v>112</v>
      </c>
      <c r="E35" t="s">
        <v>145</v>
      </c>
      <c r="F35">
        <v>1431.5</v>
      </c>
      <c r="G35" t="s">
        <v>114</v>
      </c>
      <c r="H35">
        <v>868.63419999999996</v>
      </c>
    </row>
    <row r="36" spans="1:8" x14ac:dyDescent="0.3">
      <c r="A36">
        <v>572</v>
      </c>
      <c r="B36" t="s">
        <v>160</v>
      </c>
      <c r="C36" t="s">
        <v>149</v>
      </c>
      <c r="D36" t="s">
        <v>112</v>
      </c>
      <c r="E36" t="s">
        <v>145</v>
      </c>
      <c r="F36">
        <v>1263.4598000000001</v>
      </c>
      <c r="G36" t="s">
        <v>114</v>
      </c>
      <c r="H36">
        <v>747.96820000000002</v>
      </c>
    </row>
    <row r="37" spans="1:8" x14ac:dyDescent="0.3">
      <c r="A37">
        <v>571</v>
      </c>
      <c r="B37" t="s">
        <v>161</v>
      </c>
      <c r="C37" t="s">
        <v>149</v>
      </c>
      <c r="D37" t="s">
        <v>112</v>
      </c>
      <c r="E37" t="s">
        <v>145</v>
      </c>
      <c r="F37">
        <v>1301.3635999999999</v>
      </c>
      <c r="G37" t="s">
        <v>114</v>
      </c>
      <c r="H37">
        <v>722.2568</v>
      </c>
    </row>
    <row r="38" spans="1:8" x14ac:dyDescent="0.3">
      <c r="A38">
        <v>570</v>
      </c>
      <c r="B38" t="s">
        <v>162</v>
      </c>
      <c r="C38" t="s">
        <v>149</v>
      </c>
      <c r="D38" t="s">
        <v>112</v>
      </c>
      <c r="E38" t="s">
        <v>145</v>
      </c>
      <c r="F38">
        <v>1431.5</v>
      </c>
      <c r="G38" t="s">
        <v>114</v>
      </c>
      <c r="H38">
        <v>868.63419999999996</v>
      </c>
    </row>
    <row r="39" spans="1:8" x14ac:dyDescent="0.3">
      <c r="A39">
        <v>569</v>
      </c>
      <c r="B39" t="s">
        <v>163</v>
      </c>
      <c r="C39" t="s">
        <v>149</v>
      </c>
      <c r="D39" t="s">
        <v>112</v>
      </c>
      <c r="E39" t="s">
        <v>145</v>
      </c>
      <c r="F39">
        <v>1263.4598000000001</v>
      </c>
      <c r="G39" t="s">
        <v>114</v>
      </c>
      <c r="H39">
        <v>747.96820000000002</v>
      </c>
    </row>
    <row r="40" spans="1:8" x14ac:dyDescent="0.3">
      <c r="A40">
        <v>568</v>
      </c>
      <c r="B40" t="s">
        <v>164</v>
      </c>
      <c r="C40" t="s">
        <v>149</v>
      </c>
      <c r="D40" t="s">
        <v>112</v>
      </c>
      <c r="E40" t="s">
        <v>145</v>
      </c>
      <c r="F40">
        <v>1301.3635999999999</v>
      </c>
      <c r="G40" t="s">
        <v>114</v>
      </c>
      <c r="H40">
        <v>722.2568</v>
      </c>
    </row>
    <row r="41" spans="1:8" x14ac:dyDescent="0.3">
      <c r="A41">
        <v>567</v>
      </c>
      <c r="B41" t="s">
        <v>165</v>
      </c>
      <c r="C41" t="s">
        <v>144</v>
      </c>
      <c r="D41" t="s">
        <v>112</v>
      </c>
      <c r="E41" t="s">
        <v>145</v>
      </c>
      <c r="F41">
        <v>1431.5</v>
      </c>
      <c r="G41" t="s">
        <v>114</v>
      </c>
      <c r="H41">
        <v>868.63419999999996</v>
      </c>
    </row>
    <row r="42" spans="1:8" x14ac:dyDescent="0.3">
      <c r="A42">
        <v>566</v>
      </c>
      <c r="B42" t="s">
        <v>166</v>
      </c>
      <c r="C42" t="s">
        <v>144</v>
      </c>
      <c r="D42" t="s">
        <v>112</v>
      </c>
      <c r="E42" t="s">
        <v>145</v>
      </c>
      <c r="F42">
        <v>1263.4598000000001</v>
      </c>
      <c r="G42" t="s">
        <v>114</v>
      </c>
      <c r="H42">
        <v>747.96820000000002</v>
      </c>
    </row>
    <row r="43" spans="1:8" x14ac:dyDescent="0.3">
      <c r="A43">
        <v>565</v>
      </c>
      <c r="B43" t="s">
        <v>167</v>
      </c>
      <c r="C43" t="s">
        <v>144</v>
      </c>
      <c r="D43" t="s">
        <v>112</v>
      </c>
      <c r="E43" t="s">
        <v>145</v>
      </c>
      <c r="F43">
        <v>1301.3635999999999</v>
      </c>
      <c r="G43" t="s">
        <v>114</v>
      </c>
      <c r="H43">
        <v>722.2568</v>
      </c>
    </row>
    <row r="44" spans="1:8" x14ac:dyDescent="0.3">
      <c r="A44">
        <v>564</v>
      </c>
      <c r="B44" t="s">
        <v>168</v>
      </c>
      <c r="C44" t="s">
        <v>149</v>
      </c>
      <c r="D44" t="s">
        <v>112</v>
      </c>
      <c r="E44" t="s">
        <v>145</v>
      </c>
      <c r="F44">
        <v>1431.5</v>
      </c>
      <c r="G44" t="s">
        <v>114</v>
      </c>
      <c r="H44">
        <v>868.63419999999996</v>
      </c>
    </row>
    <row r="45" spans="1:8" x14ac:dyDescent="0.3">
      <c r="A45">
        <v>563</v>
      </c>
      <c r="B45" t="s">
        <v>169</v>
      </c>
      <c r="C45" t="s">
        <v>149</v>
      </c>
      <c r="D45" t="s">
        <v>112</v>
      </c>
      <c r="E45" t="s">
        <v>145</v>
      </c>
      <c r="F45">
        <v>297.63459999999998</v>
      </c>
      <c r="G45" t="s">
        <v>170</v>
      </c>
      <c r="H45">
        <v>176.19970000000001</v>
      </c>
    </row>
    <row r="46" spans="1:8" x14ac:dyDescent="0.3">
      <c r="A46">
        <v>562</v>
      </c>
      <c r="B46" t="s">
        <v>171</v>
      </c>
      <c r="C46" t="s">
        <v>149</v>
      </c>
      <c r="D46" t="s">
        <v>112</v>
      </c>
      <c r="E46" t="s">
        <v>145</v>
      </c>
      <c r="F46">
        <v>306.56360000000001</v>
      </c>
      <c r="G46" t="s">
        <v>170</v>
      </c>
      <c r="H46">
        <v>170.14279999999999</v>
      </c>
    </row>
    <row r="47" spans="1:8" x14ac:dyDescent="0.3">
      <c r="A47">
        <v>561</v>
      </c>
      <c r="B47" t="s">
        <v>172</v>
      </c>
      <c r="C47" t="s">
        <v>149</v>
      </c>
      <c r="D47" t="s">
        <v>112</v>
      </c>
      <c r="E47" t="s">
        <v>145</v>
      </c>
      <c r="F47">
        <v>337.22</v>
      </c>
      <c r="G47" t="s">
        <v>170</v>
      </c>
      <c r="H47">
        <v>204.6251</v>
      </c>
    </row>
    <row r="48" spans="1:8" x14ac:dyDescent="0.3">
      <c r="A48">
        <v>560</v>
      </c>
      <c r="B48" t="s">
        <v>173</v>
      </c>
      <c r="C48" t="s">
        <v>144</v>
      </c>
      <c r="D48" t="s">
        <v>112</v>
      </c>
      <c r="E48" t="s">
        <v>145</v>
      </c>
      <c r="F48">
        <v>297.63459999999998</v>
      </c>
      <c r="G48" t="s">
        <v>170</v>
      </c>
      <c r="H48">
        <v>176.19970000000001</v>
      </c>
    </row>
    <row r="49" spans="1:8" x14ac:dyDescent="0.3">
      <c r="A49">
        <v>559</v>
      </c>
      <c r="B49" t="s">
        <v>174</v>
      </c>
      <c r="C49" t="s">
        <v>132</v>
      </c>
      <c r="D49" t="s">
        <v>120</v>
      </c>
      <c r="E49" t="s">
        <v>175</v>
      </c>
      <c r="F49">
        <v>306.56360000000001</v>
      </c>
      <c r="G49" t="s">
        <v>170</v>
      </c>
      <c r="H49">
        <v>170.14279999999999</v>
      </c>
    </row>
    <row r="50" spans="1:8" x14ac:dyDescent="0.3">
      <c r="A50">
        <v>558</v>
      </c>
      <c r="B50" t="s">
        <v>176</v>
      </c>
      <c r="C50" t="s">
        <v>111</v>
      </c>
      <c r="D50" t="s">
        <v>120</v>
      </c>
      <c r="E50" t="s">
        <v>177</v>
      </c>
      <c r="F50">
        <v>337.22</v>
      </c>
      <c r="G50" t="s">
        <v>170</v>
      </c>
      <c r="H50">
        <v>204.6251</v>
      </c>
    </row>
    <row r="51" spans="1:8" x14ac:dyDescent="0.3">
      <c r="A51">
        <v>557</v>
      </c>
      <c r="B51" t="s">
        <v>178</v>
      </c>
      <c r="C51" t="s">
        <v>111</v>
      </c>
      <c r="D51" t="s">
        <v>120</v>
      </c>
      <c r="E51" t="s">
        <v>177</v>
      </c>
      <c r="F51">
        <v>297.63459999999998</v>
      </c>
      <c r="G51" t="s">
        <v>170</v>
      </c>
      <c r="H51">
        <v>176.19970000000001</v>
      </c>
    </row>
    <row r="52" spans="1:8" x14ac:dyDescent="0.3">
      <c r="A52">
        <v>556</v>
      </c>
      <c r="B52" t="s">
        <v>179</v>
      </c>
      <c r="C52" t="s">
        <v>111</v>
      </c>
      <c r="D52" t="s">
        <v>120</v>
      </c>
      <c r="E52" t="s">
        <v>177</v>
      </c>
      <c r="F52">
        <v>306.56360000000001</v>
      </c>
      <c r="G52" t="s">
        <v>170</v>
      </c>
      <c r="H52">
        <v>170.14279999999999</v>
      </c>
    </row>
    <row r="53" spans="1:8" x14ac:dyDescent="0.3">
      <c r="A53">
        <v>555</v>
      </c>
      <c r="B53" t="s">
        <v>180</v>
      </c>
      <c r="C53" t="s">
        <v>132</v>
      </c>
      <c r="D53" t="s">
        <v>120</v>
      </c>
      <c r="E53" t="s">
        <v>181</v>
      </c>
      <c r="F53">
        <v>337.22</v>
      </c>
      <c r="G53" t="s">
        <v>170</v>
      </c>
      <c r="H53">
        <v>204.6251</v>
      </c>
    </row>
    <row r="54" spans="1:8" x14ac:dyDescent="0.3">
      <c r="A54">
        <v>554</v>
      </c>
      <c r="B54" t="s">
        <v>182</v>
      </c>
      <c r="C54" t="s">
        <v>119</v>
      </c>
      <c r="D54" t="s">
        <v>120</v>
      </c>
      <c r="E54" t="s">
        <v>183</v>
      </c>
      <c r="F54">
        <v>306.56360000000001</v>
      </c>
      <c r="G54" t="s">
        <v>170</v>
      </c>
      <c r="H54">
        <v>181.48570000000001</v>
      </c>
    </row>
    <row r="55" spans="1:8" x14ac:dyDescent="0.3">
      <c r="A55">
        <v>553</v>
      </c>
      <c r="B55" t="s">
        <v>184</v>
      </c>
      <c r="C55" t="s">
        <v>119</v>
      </c>
      <c r="D55" t="s">
        <v>120</v>
      </c>
      <c r="E55" t="s">
        <v>183</v>
      </c>
      <c r="F55">
        <v>337.22</v>
      </c>
      <c r="G55" t="s">
        <v>170</v>
      </c>
      <c r="H55">
        <v>187.15710000000001</v>
      </c>
    </row>
    <row r="56" spans="1:8" x14ac:dyDescent="0.3">
      <c r="A56">
        <v>552</v>
      </c>
      <c r="B56" t="s">
        <v>185</v>
      </c>
      <c r="C56" t="s">
        <v>132</v>
      </c>
      <c r="D56" t="s">
        <v>120</v>
      </c>
      <c r="E56" t="s">
        <v>186</v>
      </c>
      <c r="F56">
        <v>306.56360000000001</v>
      </c>
      <c r="G56" t="s">
        <v>170</v>
      </c>
      <c r="H56">
        <v>181.48570000000001</v>
      </c>
    </row>
    <row r="57" spans="1:8" x14ac:dyDescent="0.3">
      <c r="A57">
        <v>551</v>
      </c>
      <c r="B57" t="s">
        <v>187</v>
      </c>
      <c r="C57" t="s">
        <v>132</v>
      </c>
      <c r="D57" t="s">
        <v>120</v>
      </c>
      <c r="E57" t="s">
        <v>188</v>
      </c>
      <c r="F57">
        <v>337.22</v>
      </c>
      <c r="G57" t="s">
        <v>170</v>
      </c>
      <c r="H57">
        <v>187.15710000000001</v>
      </c>
    </row>
    <row r="58" spans="1:8" x14ac:dyDescent="0.3">
      <c r="A58">
        <v>550</v>
      </c>
      <c r="B58" t="s">
        <v>189</v>
      </c>
      <c r="C58" t="s">
        <v>111</v>
      </c>
      <c r="D58" t="s">
        <v>120</v>
      </c>
      <c r="E58" t="s">
        <v>188</v>
      </c>
      <c r="F58">
        <v>306.56360000000001</v>
      </c>
      <c r="G58" t="s">
        <v>170</v>
      </c>
      <c r="H58">
        <v>181.48570000000001</v>
      </c>
    </row>
    <row r="59" spans="1:8" x14ac:dyDescent="0.3">
      <c r="A59">
        <v>549</v>
      </c>
      <c r="B59" t="s">
        <v>190</v>
      </c>
      <c r="C59" t="s">
        <v>132</v>
      </c>
      <c r="D59" t="s">
        <v>120</v>
      </c>
      <c r="E59" t="s">
        <v>188</v>
      </c>
      <c r="F59">
        <v>337.22</v>
      </c>
      <c r="G59" t="s">
        <v>170</v>
      </c>
      <c r="H59">
        <v>187.15710000000001</v>
      </c>
    </row>
    <row r="60" spans="1:8" x14ac:dyDescent="0.3">
      <c r="A60">
        <v>548</v>
      </c>
      <c r="B60" t="s">
        <v>191</v>
      </c>
      <c r="C60" t="s">
        <v>192</v>
      </c>
      <c r="D60" t="s">
        <v>120</v>
      </c>
      <c r="E60" t="s">
        <v>193</v>
      </c>
      <c r="F60">
        <v>306.56360000000001</v>
      </c>
      <c r="G60" t="s">
        <v>170</v>
      </c>
      <c r="H60">
        <v>181.48570000000001</v>
      </c>
    </row>
    <row r="61" spans="1:8" x14ac:dyDescent="0.3">
      <c r="A61">
        <v>547</v>
      </c>
      <c r="B61" t="s">
        <v>194</v>
      </c>
      <c r="C61" t="s">
        <v>192</v>
      </c>
      <c r="D61" t="s">
        <v>120</v>
      </c>
      <c r="E61" t="s">
        <v>193</v>
      </c>
      <c r="F61">
        <v>337.22</v>
      </c>
      <c r="G61" t="s">
        <v>170</v>
      </c>
      <c r="H61">
        <v>187.15710000000001</v>
      </c>
    </row>
    <row r="62" spans="1:8" x14ac:dyDescent="0.3">
      <c r="A62">
        <v>546</v>
      </c>
      <c r="B62" t="s">
        <v>195</v>
      </c>
      <c r="C62" t="s">
        <v>192</v>
      </c>
      <c r="D62" t="s">
        <v>120</v>
      </c>
      <c r="E62" t="s">
        <v>193</v>
      </c>
      <c r="F62">
        <v>306.56360000000001</v>
      </c>
      <c r="G62" t="s">
        <v>170</v>
      </c>
      <c r="H62">
        <v>181.48570000000001</v>
      </c>
    </row>
    <row r="63" spans="1:8" x14ac:dyDescent="0.3">
      <c r="A63">
        <v>545</v>
      </c>
      <c r="B63" t="s">
        <v>196</v>
      </c>
      <c r="C63" t="s">
        <v>192</v>
      </c>
      <c r="D63" t="s">
        <v>120</v>
      </c>
      <c r="E63" t="s">
        <v>193</v>
      </c>
      <c r="F63">
        <v>337.22</v>
      </c>
      <c r="G63" t="s">
        <v>170</v>
      </c>
      <c r="H63">
        <v>187.15710000000001</v>
      </c>
    </row>
    <row r="64" spans="1:8" x14ac:dyDescent="0.3">
      <c r="A64">
        <v>544</v>
      </c>
      <c r="B64" t="s">
        <v>197</v>
      </c>
      <c r="C64" t="s">
        <v>192</v>
      </c>
      <c r="D64" t="s">
        <v>120</v>
      </c>
      <c r="E64" t="s">
        <v>193</v>
      </c>
      <c r="F64">
        <v>306.56360000000001</v>
      </c>
      <c r="G64" t="s">
        <v>170</v>
      </c>
      <c r="H64">
        <v>181.48570000000001</v>
      </c>
    </row>
    <row r="65" spans="1:8" x14ac:dyDescent="0.3">
      <c r="A65">
        <v>543</v>
      </c>
      <c r="B65" t="s">
        <v>198</v>
      </c>
      <c r="C65" t="s">
        <v>192</v>
      </c>
      <c r="D65" t="s">
        <v>120</v>
      </c>
      <c r="E65" t="s">
        <v>193</v>
      </c>
      <c r="F65">
        <v>337.22</v>
      </c>
      <c r="G65" t="s">
        <v>170</v>
      </c>
      <c r="H65">
        <v>187.15710000000001</v>
      </c>
    </row>
    <row r="66" spans="1:8" x14ac:dyDescent="0.3">
      <c r="A66">
        <v>542</v>
      </c>
      <c r="B66" t="s">
        <v>199</v>
      </c>
      <c r="C66" t="s">
        <v>192</v>
      </c>
      <c r="D66" t="s">
        <v>120</v>
      </c>
      <c r="E66" t="s">
        <v>193</v>
      </c>
      <c r="F66">
        <v>594.83000000000004</v>
      </c>
      <c r="G66" t="s">
        <v>200</v>
      </c>
      <c r="H66">
        <v>352.13940000000002</v>
      </c>
    </row>
    <row r="67" spans="1:8" x14ac:dyDescent="0.3">
      <c r="A67">
        <v>541</v>
      </c>
      <c r="B67" t="s">
        <v>201</v>
      </c>
      <c r="C67" t="s">
        <v>119</v>
      </c>
      <c r="D67" t="s">
        <v>202</v>
      </c>
      <c r="E67" t="s">
        <v>203</v>
      </c>
      <c r="F67">
        <v>594.83000000000004</v>
      </c>
      <c r="G67" t="s">
        <v>200</v>
      </c>
      <c r="H67">
        <v>352.13940000000002</v>
      </c>
    </row>
    <row r="68" spans="1:8" x14ac:dyDescent="0.3">
      <c r="A68">
        <v>540</v>
      </c>
      <c r="B68" t="s">
        <v>204</v>
      </c>
      <c r="C68" t="s">
        <v>119</v>
      </c>
      <c r="D68" t="s">
        <v>202</v>
      </c>
      <c r="E68" t="s">
        <v>203</v>
      </c>
      <c r="F68">
        <v>594.83000000000004</v>
      </c>
      <c r="G68" t="s">
        <v>200</v>
      </c>
      <c r="H68">
        <v>352.13940000000002</v>
      </c>
    </row>
    <row r="69" spans="1:8" x14ac:dyDescent="0.3">
      <c r="A69">
        <v>539</v>
      </c>
      <c r="B69" t="s">
        <v>205</v>
      </c>
      <c r="C69" t="s">
        <v>119</v>
      </c>
      <c r="D69" t="s">
        <v>202</v>
      </c>
      <c r="E69" t="s">
        <v>203</v>
      </c>
      <c r="F69">
        <v>594.83000000000004</v>
      </c>
      <c r="G69" t="s">
        <v>200</v>
      </c>
      <c r="H69">
        <v>352.13940000000002</v>
      </c>
    </row>
    <row r="70" spans="1:8" x14ac:dyDescent="0.3">
      <c r="A70">
        <v>538</v>
      </c>
      <c r="B70" t="s">
        <v>206</v>
      </c>
      <c r="C70" t="s">
        <v>119</v>
      </c>
      <c r="D70" t="s">
        <v>202</v>
      </c>
      <c r="E70" t="s">
        <v>203</v>
      </c>
      <c r="F70">
        <v>594.83000000000004</v>
      </c>
      <c r="G70" t="s">
        <v>200</v>
      </c>
      <c r="H70">
        <v>352.13940000000002</v>
      </c>
    </row>
    <row r="71" spans="1:8" x14ac:dyDescent="0.3">
      <c r="A71">
        <v>537</v>
      </c>
      <c r="B71" t="s">
        <v>207</v>
      </c>
      <c r="C71" t="s">
        <v>119</v>
      </c>
      <c r="D71" t="s">
        <v>202</v>
      </c>
      <c r="E71" t="s">
        <v>203</v>
      </c>
      <c r="F71">
        <v>297.63459999999998</v>
      </c>
      <c r="G71" t="s">
        <v>170</v>
      </c>
      <c r="H71">
        <v>176.19970000000001</v>
      </c>
    </row>
    <row r="72" spans="1:8" x14ac:dyDescent="0.3">
      <c r="A72">
        <v>536</v>
      </c>
      <c r="B72" t="s">
        <v>208</v>
      </c>
      <c r="C72" t="s">
        <v>119</v>
      </c>
      <c r="D72" t="s">
        <v>202</v>
      </c>
      <c r="E72" t="s">
        <v>203</v>
      </c>
      <c r="F72">
        <v>306.56360000000001</v>
      </c>
      <c r="G72" t="s">
        <v>170</v>
      </c>
      <c r="H72">
        <v>170.14279999999999</v>
      </c>
    </row>
    <row r="73" spans="1:8" x14ac:dyDescent="0.3">
      <c r="A73">
        <v>535</v>
      </c>
      <c r="B73" t="s">
        <v>209</v>
      </c>
      <c r="C73" t="s">
        <v>119</v>
      </c>
      <c r="D73" t="s">
        <v>202</v>
      </c>
      <c r="E73" t="s">
        <v>203</v>
      </c>
      <c r="F73">
        <v>337.22</v>
      </c>
      <c r="G73" t="s">
        <v>170</v>
      </c>
      <c r="H73">
        <v>204.6251</v>
      </c>
    </row>
    <row r="74" spans="1:8" x14ac:dyDescent="0.3">
      <c r="A74">
        <v>534</v>
      </c>
      <c r="B74" t="s">
        <v>210</v>
      </c>
      <c r="C74" t="s">
        <v>111</v>
      </c>
      <c r="D74" t="s">
        <v>120</v>
      </c>
      <c r="E74" t="s">
        <v>188</v>
      </c>
      <c r="F74">
        <v>297.63459999999998</v>
      </c>
      <c r="G74" t="s">
        <v>170</v>
      </c>
      <c r="H74">
        <v>176.19970000000001</v>
      </c>
    </row>
    <row r="75" spans="1:8" x14ac:dyDescent="0.3">
      <c r="A75">
        <v>533</v>
      </c>
      <c r="B75" t="s">
        <v>211</v>
      </c>
      <c r="C75" t="s">
        <v>111</v>
      </c>
      <c r="D75" t="s">
        <v>120</v>
      </c>
      <c r="E75" t="s">
        <v>188</v>
      </c>
      <c r="F75">
        <v>306.56360000000001</v>
      </c>
      <c r="G75" t="s">
        <v>170</v>
      </c>
      <c r="H75">
        <v>170.14279999999999</v>
      </c>
    </row>
    <row r="76" spans="1:8" x14ac:dyDescent="0.3">
      <c r="A76">
        <v>532</v>
      </c>
      <c r="B76" t="s">
        <v>212</v>
      </c>
      <c r="C76" t="s">
        <v>111</v>
      </c>
      <c r="D76" t="s">
        <v>120</v>
      </c>
      <c r="E76" t="s">
        <v>188</v>
      </c>
      <c r="F76">
        <v>337.22</v>
      </c>
      <c r="G76" t="s">
        <v>170</v>
      </c>
      <c r="H76">
        <v>204.6251</v>
      </c>
    </row>
    <row r="77" spans="1:8" x14ac:dyDescent="0.3">
      <c r="A77">
        <v>531</v>
      </c>
      <c r="B77" t="s">
        <v>213</v>
      </c>
      <c r="C77" t="s">
        <v>111</v>
      </c>
      <c r="D77" t="s">
        <v>120</v>
      </c>
      <c r="E77" t="s">
        <v>188</v>
      </c>
      <c r="F77">
        <v>297.63459999999998</v>
      </c>
      <c r="G77" t="s">
        <v>170</v>
      </c>
      <c r="H77">
        <v>176.19970000000001</v>
      </c>
    </row>
    <row r="78" spans="1:8" x14ac:dyDescent="0.3">
      <c r="A78">
        <v>530</v>
      </c>
      <c r="B78" t="s">
        <v>214</v>
      </c>
      <c r="C78" t="s">
        <v>119</v>
      </c>
      <c r="D78" t="s">
        <v>202</v>
      </c>
      <c r="E78" t="s">
        <v>203</v>
      </c>
      <c r="F78">
        <v>306.56360000000001</v>
      </c>
      <c r="G78" t="s">
        <v>170</v>
      </c>
      <c r="H78">
        <v>170.14279999999999</v>
      </c>
    </row>
    <row r="79" spans="1:8" x14ac:dyDescent="0.3">
      <c r="A79">
        <v>529</v>
      </c>
      <c r="B79" t="s">
        <v>215</v>
      </c>
      <c r="C79" t="s">
        <v>119</v>
      </c>
      <c r="D79" t="s">
        <v>202</v>
      </c>
      <c r="E79" t="s">
        <v>203</v>
      </c>
      <c r="F79">
        <v>337.22</v>
      </c>
      <c r="G79" t="s">
        <v>170</v>
      </c>
      <c r="H79">
        <v>204.6251</v>
      </c>
    </row>
    <row r="80" spans="1:8" x14ac:dyDescent="0.3">
      <c r="A80">
        <v>528</v>
      </c>
      <c r="B80" t="s">
        <v>216</v>
      </c>
      <c r="C80" t="s">
        <v>119</v>
      </c>
      <c r="D80" t="s">
        <v>202</v>
      </c>
      <c r="E80" t="s">
        <v>203</v>
      </c>
      <c r="F80">
        <v>1204.3248000000001</v>
      </c>
      <c r="G80" t="s">
        <v>217</v>
      </c>
      <c r="H80">
        <v>623.84029999999996</v>
      </c>
    </row>
    <row r="81" spans="1:8" x14ac:dyDescent="0.3">
      <c r="A81">
        <v>527</v>
      </c>
      <c r="B81" t="s">
        <v>218</v>
      </c>
      <c r="C81" t="s">
        <v>132</v>
      </c>
      <c r="D81" t="s">
        <v>120</v>
      </c>
      <c r="E81" t="s">
        <v>188</v>
      </c>
      <c r="F81">
        <v>1240.4545000000001</v>
      </c>
      <c r="G81" t="s">
        <v>217</v>
      </c>
      <c r="H81">
        <v>660.91420000000005</v>
      </c>
    </row>
    <row r="82" spans="1:8" x14ac:dyDescent="0.3">
      <c r="A82">
        <v>526</v>
      </c>
      <c r="B82" t="s">
        <v>219</v>
      </c>
      <c r="C82" t="s">
        <v>132</v>
      </c>
      <c r="D82" t="s">
        <v>120</v>
      </c>
      <c r="E82" t="s">
        <v>188</v>
      </c>
      <c r="F82">
        <v>1364.5</v>
      </c>
      <c r="G82" t="s">
        <v>217</v>
      </c>
      <c r="H82">
        <v>747.2002</v>
      </c>
    </row>
    <row r="83" spans="1:8" x14ac:dyDescent="0.3">
      <c r="A83">
        <v>525</v>
      </c>
      <c r="B83" t="s">
        <v>220</v>
      </c>
      <c r="C83" t="s">
        <v>132</v>
      </c>
      <c r="D83" t="s">
        <v>120</v>
      </c>
      <c r="E83" t="s">
        <v>188</v>
      </c>
      <c r="F83">
        <v>1364.5</v>
      </c>
      <c r="G83" t="s">
        <v>217</v>
      </c>
      <c r="H83">
        <v>706.81100000000004</v>
      </c>
    </row>
    <row r="84" spans="1:8" x14ac:dyDescent="0.3">
      <c r="A84">
        <v>524</v>
      </c>
      <c r="B84" t="s">
        <v>221</v>
      </c>
      <c r="C84" t="s">
        <v>132</v>
      </c>
      <c r="D84" t="s">
        <v>120</v>
      </c>
      <c r="E84" t="s">
        <v>188</v>
      </c>
      <c r="F84">
        <v>1364.5</v>
      </c>
      <c r="G84" t="s">
        <v>217</v>
      </c>
      <c r="H84">
        <v>706.81100000000004</v>
      </c>
    </row>
    <row r="85" spans="1:8" x14ac:dyDescent="0.3">
      <c r="A85">
        <v>523</v>
      </c>
      <c r="B85" t="s">
        <v>222</v>
      </c>
      <c r="C85" t="s">
        <v>119</v>
      </c>
      <c r="D85" t="s">
        <v>120</v>
      </c>
      <c r="E85" t="s">
        <v>223</v>
      </c>
      <c r="F85">
        <v>1204.3248000000001</v>
      </c>
      <c r="G85" t="s">
        <v>217</v>
      </c>
      <c r="H85">
        <v>623.84029999999996</v>
      </c>
    </row>
    <row r="86" spans="1:8" x14ac:dyDescent="0.3">
      <c r="A86">
        <v>522</v>
      </c>
      <c r="B86" t="s">
        <v>224</v>
      </c>
      <c r="C86" t="s">
        <v>119</v>
      </c>
      <c r="D86" t="s">
        <v>120</v>
      </c>
      <c r="E86" t="s">
        <v>223</v>
      </c>
      <c r="F86">
        <v>1240.4545000000001</v>
      </c>
      <c r="G86" t="s">
        <v>217</v>
      </c>
      <c r="H86">
        <v>660.91420000000005</v>
      </c>
    </row>
    <row r="87" spans="1:8" x14ac:dyDescent="0.3">
      <c r="A87">
        <v>521</v>
      </c>
      <c r="B87" t="s">
        <v>225</v>
      </c>
      <c r="C87" t="s">
        <v>119</v>
      </c>
      <c r="D87" t="s">
        <v>120</v>
      </c>
      <c r="E87" t="s">
        <v>223</v>
      </c>
      <c r="F87">
        <v>1364.5</v>
      </c>
      <c r="G87" t="s">
        <v>217</v>
      </c>
      <c r="H87">
        <v>747.2002</v>
      </c>
    </row>
    <row r="88" spans="1:8" x14ac:dyDescent="0.3">
      <c r="A88">
        <v>520</v>
      </c>
      <c r="B88" t="s">
        <v>226</v>
      </c>
      <c r="C88" t="s">
        <v>119</v>
      </c>
      <c r="D88" t="s">
        <v>120</v>
      </c>
      <c r="E88" t="s">
        <v>223</v>
      </c>
      <c r="F88">
        <v>1191.1739</v>
      </c>
      <c r="G88" t="s">
        <v>217</v>
      </c>
      <c r="H88">
        <v>617.02809999999999</v>
      </c>
    </row>
    <row r="89" spans="1:8" x14ac:dyDescent="0.3">
      <c r="A89">
        <v>519</v>
      </c>
      <c r="B89" t="s">
        <v>227</v>
      </c>
      <c r="C89" t="s">
        <v>119</v>
      </c>
      <c r="D89" t="s">
        <v>120</v>
      </c>
      <c r="E89" t="s">
        <v>223</v>
      </c>
      <c r="F89">
        <v>1226.9091000000001</v>
      </c>
      <c r="G89" t="s">
        <v>217</v>
      </c>
      <c r="H89">
        <v>653.69709999999998</v>
      </c>
    </row>
    <row r="90" spans="1:8" x14ac:dyDescent="0.3">
      <c r="A90">
        <v>518</v>
      </c>
      <c r="B90" t="s">
        <v>228</v>
      </c>
      <c r="C90" t="s">
        <v>119</v>
      </c>
      <c r="D90" t="s">
        <v>120</v>
      </c>
      <c r="E90" t="s">
        <v>223</v>
      </c>
      <c r="F90">
        <v>1349.6</v>
      </c>
      <c r="G90" t="s">
        <v>217</v>
      </c>
      <c r="H90">
        <v>739.04100000000005</v>
      </c>
    </row>
    <row r="91" spans="1:8" x14ac:dyDescent="0.3">
      <c r="A91">
        <v>517</v>
      </c>
      <c r="B91" t="s">
        <v>229</v>
      </c>
      <c r="C91" t="s">
        <v>119</v>
      </c>
      <c r="D91" t="s">
        <v>120</v>
      </c>
      <c r="E91" t="s">
        <v>223</v>
      </c>
      <c r="F91">
        <v>1349.6</v>
      </c>
      <c r="G91" t="s">
        <v>217</v>
      </c>
      <c r="H91">
        <v>699.09280000000001</v>
      </c>
    </row>
    <row r="92" spans="1:8" x14ac:dyDescent="0.3">
      <c r="A92">
        <v>516</v>
      </c>
      <c r="B92" t="s">
        <v>230</v>
      </c>
      <c r="C92" t="s">
        <v>119</v>
      </c>
      <c r="D92" t="s">
        <v>120</v>
      </c>
      <c r="E92" t="s">
        <v>223</v>
      </c>
      <c r="F92">
        <v>1349.6</v>
      </c>
      <c r="G92" t="s">
        <v>217</v>
      </c>
      <c r="H92">
        <v>699.09280000000001</v>
      </c>
    </row>
    <row r="93" spans="1:8" x14ac:dyDescent="0.3">
      <c r="A93">
        <v>515</v>
      </c>
      <c r="B93" t="s">
        <v>231</v>
      </c>
      <c r="C93" t="s">
        <v>119</v>
      </c>
      <c r="D93" t="s">
        <v>120</v>
      </c>
      <c r="E93" t="s">
        <v>223</v>
      </c>
      <c r="F93">
        <v>1191.1739</v>
      </c>
      <c r="G93" t="s">
        <v>217</v>
      </c>
      <c r="H93">
        <v>617.02809999999999</v>
      </c>
    </row>
    <row r="94" spans="1:8" x14ac:dyDescent="0.3">
      <c r="A94">
        <v>514</v>
      </c>
      <c r="B94" t="s">
        <v>232</v>
      </c>
      <c r="C94" t="s">
        <v>132</v>
      </c>
      <c r="D94" t="s">
        <v>120</v>
      </c>
      <c r="E94" t="s">
        <v>181</v>
      </c>
      <c r="F94">
        <v>1226.9091000000001</v>
      </c>
      <c r="G94" t="s">
        <v>217</v>
      </c>
      <c r="H94">
        <v>653.69709999999998</v>
      </c>
    </row>
    <row r="95" spans="1:8" x14ac:dyDescent="0.3">
      <c r="A95">
        <v>513</v>
      </c>
      <c r="B95" t="s">
        <v>233</v>
      </c>
      <c r="C95" t="s">
        <v>132</v>
      </c>
      <c r="D95" t="s">
        <v>120</v>
      </c>
      <c r="E95" t="s">
        <v>188</v>
      </c>
      <c r="F95">
        <v>1349.6</v>
      </c>
      <c r="G95" t="s">
        <v>217</v>
      </c>
      <c r="H95">
        <v>739.04100000000005</v>
      </c>
    </row>
    <row r="96" spans="1:8" x14ac:dyDescent="0.3">
      <c r="A96">
        <v>512</v>
      </c>
      <c r="B96" t="s">
        <v>234</v>
      </c>
      <c r="C96" t="s">
        <v>132</v>
      </c>
      <c r="D96" t="s">
        <v>120</v>
      </c>
      <c r="E96" t="s">
        <v>188</v>
      </c>
      <c r="F96">
        <v>1191.1739</v>
      </c>
      <c r="G96" t="s">
        <v>217</v>
      </c>
      <c r="H96">
        <v>617.02809999999999</v>
      </c>
    </row>
    <row r="97" spans="1:8" x14ac:dyDescent="0.3">
      <c r="A97">
        <v>511</v>
      </c>
      <c r="B97" t="s">
        <v>235</v>
      </c>
      <c r="C97" t="s">
        <v>132</v>
      </c>
      <c r="D97" t="s">
        <v>120</v>
      </c>
      <c r="E97" t="s">
        <v>188</v>
      </c>
      <c r="F97">
        <v>1226.9091000000001</v>
      </c>
      <c r="G97" t="s">
        <v>217</v>
      </c>
      <c r="H97">
        <v>653.69709999999998</v>
      </c>
    </row>
    <row r="98" spans="1:8" x14ac:dyDescent="0.3">
      <c r="A98">
        <v>510</v>
      </c>
      <c r="B98" t="s">
        <v>236</v>
      </c>
      <c r="C98" t="s">
        <v>144</v>
      </c>
      <c r="D98" t="s">
        <v>120</v>
      </c>
      <c r="E98" t="s">
        <v>237</v>
      </c>
      <c r="F98">
        <v>1349.6</v>
      </c>
      <c r="G98" t="s">
        <v>217</v>
      </c>
      <c r="H98">
        <v>739.04100000000005</v>
      </c>
    </row>
    <row r="99" spans="1:8" x14ac:dyDescent="0.3">
      <c r="A99">
        <v>509</v>
      </c>
      <c r="B99" t="s">
        <v>238</v>
      </c>
      <c r="C99" t="s">
        <v>149</v>
      </c>
      <c r="D99" t="s">
        <v>120</v>
      </c>
      <c r="E99" t="s">
        <v>237</v>
      </c>
      <c r="F99">
        <v>1204.3248000000001</v>
      </c>
      <c r="G99" t="s">
        <v>217</v>
      </c>
      <c r="H99">
        <v>623.84029999999996</v>
      </c>
    </row>
    <row r="100" spans="1:8" x14ac:dyDescent="0.3">
      <c r="A100">
        <v>508</v>
      </c>
      <c r="B100" t="s">
        <v>239</v>
      </c>
      <c r="C100" t="s">
        <v>149</v>
      </c>
      <c r="D100" t="s">
        <v>120</v>
      </c>
      <c r="E100" t="s">
        <v>237</v>
      </c>
      <c r="F100">
        <v>1240.4545000000001</v>
      </c>
      <c r="G100" t="s">
        <v>217</v>
      </c>
      <c r="H100">
        <v>660.91420000000005</v>
      </c>
    </row>
    <row r="101" spans="1:8" x14ac:dyDescent="0.3">
      <c r="A101">
        <v>507</v>
      </c>
      <c r="B101" t="s">
        <v>240</v>
      </c>
      <c r="C101" t="s">
        <v>149</v>
      </c>
      <c r="D101" t="s">
        <v>120</v>
      </c>
      <c r="E101" t="s">
        <v>237</v>
      </c>
      <c r="F101">
        <v>1364.5</v>
      </c>
      <c r="G101" t="s">
        <v>217</v>
      </c>
      <c r="H101">
        <v>747.2002</v>
      </c>
    </row>
    <row r="102" spans="1:8" x14ac:dyDescent="0.3">
      <c r="A102">
        <v>506</v>
      </c>
      <c r="B102" t="s">
        <v>241</v>
      </c>
      <c r="C102" t="s">
        <v>149</v>
      </c>
      <c r="D102" t="s">
        <v>120</v>
      </c>
      <c r="E102" t="s">
        <v>237</v>
      </c>
      <c r="F102">
        <v>3578.27</v>
      </c>
      <c r="G102" t="s">
        <v>242</v>
      </c>
      <c r="H102">
        <v>2171.2941999999998</v>
      </c>
    </row>
    <row r="103" spans="1:8" x14ac:dyDescent="0.3">
      <c r="A103">
        <v>505</v>
      </c>
      <c r="B103" t="s">
        <v>243</v>
      </c>
      <c r="C103" t="s">
        <v>144</v>
      </c>
      <c r="D103" t="s">
        <v>120</v>
      </c>
      <c r="E103" t="s">
        <v>237</v>
      </c>
      <c r="F103">
        <v>3578.27</v>
      </c>
      <c r="G103" t="s">
        <v>242</v>
      </c>
      <c r="H103">
        <v>2171.2941999999998</v>
      </c>
    </row>
    <row r="104" spans="1:8" x14ac:dyDescent="0.3">
      <c r="A104">
        <v>504</v>
      </c>
      <c r="B104" t="s">
        <v>244</v>
      </c>
      <c r="C104" t="s">
        <v>144</v>
      </c>
      <c r="D104" t="s">
        <v>120</v>
      </c>
      <c r="E104" t="s">
        <v>237</v>
      </c>
      <c r="F104">
        <v>3578.27</v>
      </c>
      <c r="G104" t="s">
        <v>242</v>
      </c>
      <c r="H104">
        <v>2171.2941999999998</v>
      </c>
    </row>
    <row r="105" spans="1:8" x14ac:dyDescent="0.3">
      <c r="A105">
        <v>503</v>
      </c>
      <c r="B105" t="s">
        <v>245</v>
      </c>
      <c r="C105" t="s">
        <v>144</v>
      </c>
      <c r="D105" t="s">
        <v>120</v>
      </c>
      <c r="E105" t="s">
        <v>237</v>
      </c>
      <c r="F105">
        <v>3578.27</v>
      </c>
      <c r="G105" t="s">
        <v>242</v>
      </c>
      <c r="H105">
        <v>2171.2941999999998</v>
      </c>
    </row>
    <row r="106" spans="1:8" x14ac:dyDescent="0.3">
      <c r="A106">
        <v>502</v>
      </c>
      <c r="B106" t="s">
        <v>246</v>
      </c>
      <c r="C106" t="s">
        <v>144</v>
      </c>
      <c r="D106" t="s">
        <v>120</v>
      </c>
      <c r="E106" t="s">
        <v>237</v>
      </c>
      <c r="F106">
        <v>3578.27</v>
      </c>
      <c r="G106" t="s">
        <v>242</v>
      </c>
      <c r="H106">
        <v>2171.2941999999998</v>
      </c>
    </row>
    <row r="107" spans="1:8" x14ac:dyDescent="0.3">
      <c r="A107">
        <v>501</v>
      </c>
      <c r="B107" t="s">
        <v>247</v>
      </c>
      <c r="C107" t="s">
        <v>132</v>
      </c>
      <c r="D107" t="s">
        <v>120</v>
      </c>
      <c r="E107" t="s">
        <v>186</v>
      </c>
      <c r="F107">
        <v>1457.99</v>
      </c>
      <c r="G107" t="s">
        <v>248</v>
      </c>
      <c r="H107">
        <v>884.70830000000001</v>
      </c>
    </row>
    <row r="108" spans="1:8" x14ac:dyDescent="0.3">
      <c r="A108">
        <v>500</v>
      </c>
      <c r="B108" t="s">
        <v>249</v>
      </c>
      <c r="C108" t="s">
        <v>144</v>
      </c>
      <c r="D108" t="s">
        <v>120</v>
      </c>
      <c r="E108" t="s">
        <v>237</v>
      </c>
      <c r="F108">
        <v>1457.99</v>
      </c>
      <c r="G108" t="s">
        <v>248</v>
      </c>
      <c r="H108">
        <v>884.70830000000001</v>
      </c>
    </row>
    <row r="109" spans="1:8" x14ac:dyDescent="0.3">
      <c r="A109">
        <v>499</v>
      </c>
      <c r="B109" t="s">
        <v>250</v>
      </c>
      <c r="C109" t="s">
        <v>144</v>
      </c>
      <c r="D109" t="s">
        <v>120</v>
      </c>
      <c r="E109" t="s">
        <v>237</v>
      </c>
      <c r="F109">
        <v>1457.99</v>
      </c>
      <c r="G109" t="s">
        <v>248</v>
      </c>
      <c r="H109">
        <v>884.70830000000001</v>
      </c>
    </row>
    <row r="110" spans="1:8" x14ac:dyDescent="0.3">
      <c r="A110">
        <v>498</v>
      </c>
      <c r="B110" t="s">
        <v>251</v>
      </c>
      <c r="C110" t="s">
        <v>144</v>
      </c>
      <c r="D110" t="s">
        <v>120</v>
      </c>
      <c r="E110" t="s">
        <v>237</v>
      </c>
      <c r="F110">
        <v>1457.99</v>
      </c>
      <c r="G110" t="s">
        <v>248</v>
      </c>
      <c r="H110">
        <v>884.70830000000001</v>
      </c>
    </row>
    <row r="111" spans="1:8" x14ac:dyDescent="0.3">
      <c r="A111">
        <v>497</v>
      </c>
      <c r="B111" t="s">
        <v>252</v>
      </c>
      <c r="C111" t="s">
        <v>144</v>
      </c>
      <c r="D111" t="s">
        <v>120</v>
      </c>
      <c r="E111" t="s">
        <v>237</v>
      </c>
      <c r="F111">
        <v>1457.99</v>
      </c>
      <c r="G111" t="s">
        <v>248</v>
      </c>
      <c r="H111">
        <v>884.70830000000001</v>
      </c>
    </row>
    <row r="112" spans="1:8" x14ac:dyDescent="0.3">
      <c r="A112">
        <v>496</v>
      </c>
      <c r="B112" t="s">
        <v>253</v>
      </c>
      <c r="C112" t="s">
        <v>149</v>
      </c>
      <c r="D112" t="s">
        <v>120</v>
      </c>
      <c r="E112" t="s">
        <v>237</v>
      </c>
      <c r="F112">
        <v>699.09820000000002</v>
      </c>
      <c r="G112" t="s">
        <v>254</v>
      </c>
      <c r="H112">
        <v>413.1463</v>
      </c>
    </row>
    <row r="113" spans="1:8" x14ac:dyDescent="0.3">
      <c r="A113">
        <v>495</v>
      </c>
      <c r="B113" t="s">
        <v>255</v>
      </c>
      <c r="C113" t="s">
        <v>149</v>
      </c>
      <c r="D113" t="s">
        <v>120</v>
      </c>
      <c r="E113" t="s">
        <v>237</v>
      </c>
      <c r="F113">
        <v>782.99</v>
      </c>
      <c r="G113" t="s">
        <v>254</v>
      </c>
      <c r="H113">
        <v>486.70659999999998</v>
      </c>
    </row>
    <row r="114" spans="1:8" x14ac:dyDescent="0.3">
      <c r="A114">
        <v>494</v>
      </c>
      <c r="B114" t="s">
        <v>256</v>
      </c>
      <c r="C114" t="s">
        <v>149</v>
      </c>
      <c r="D114" t="s">
        <v>120</v>
      </c>
      <c r="E114" t="s">
        <v>237</v>
      </c>
      <c r="F114">
        <v>699.09820000000002</v>
      </c>
      <c r="G114" t="s">
        <v>254</v>
      </c>
      <c r="H114">
        <v>413.1463</v>
      </c>
    </row>
    <row r="115" spans="1:8" x14ac:dyDescent="0.3">
      <c r="A115">
        <v>493</v>
      </c>
      <c r="B115" t="s">
        <v>257</v>
      </c>
      <c r="C115" t="s">
        <v>149</v>
      </c>
      <c r="D115" t="s">
        <v>120</v>
      </c>
      <c r="E115" t="s">
        <v>237</v>
      </c>
      <c r="F115">
        <v>782.99</v>
      </c>
      <c r="G115" t="s">
        <v>254</v>
      </c>
      <c r="H115">
        <v>486.70659999999998</v>
      </c>
    </row>
    <row r="116" spans="1:8" x14ac:dyDescent="0.3">
      <c r="A116">
        <v>492</v>
      </c>
      <c r="B116" t="s">
        <v>258</v>
      </c>
      <c r="C116" t="s">
        <v>149</v>
      </c>
      <c r="D116" t="s">
        <v>120</v>
      </c>
      <c r="E116" t="s">
        <v>237</v>
      </c>
      <c r="F116">
        <v>699.09820000000002</v>
      </c>
      <c r="G116" t="s">
        <v>254</v>
      </c>
      <c r="H116">
        <v>413.1463</v>
      </c>
    </row>
    <row r="117" spans="1:8" x14ac:dyDescent="0.3">
      <c r="A117">
        <v>491</v>
      </c>
      <c r="B117" t="s">
        <v>259</v>
      </c>
      <c r="C117" t="s">
        <v>149</v>
      </c>
      <c r="D117" t="s">
        <v>260</v>
      </c>
      <c r="E117" t="s">
        <v>261</v>
      </c>
      <c r="F117">
        <v>782.99</v>
      </c>
      <c r="G117" t="s">
        <v>254</v>
      </c>
      <c r="H117">
        <v>486.70659999999998</v>
      </c>
    </row>
    <row r="118" spans="1:8" x14ac:dyDescent="0.3">
      <c r="A118">
        <v>490</v>
      </c>
      <c r="B118" t="s">
        <v>262</v>
      </c>
      <c r="C118" t="s">
        <v>149</v>
      </c>
      <c r="D118" t="s">
        <v>260</v>
      </c>
      <c r="E118" t="s">
        <v>261</v>
      </c>
      <c r="F118">
        <v>699.09820000000002</v>
      </c>
      <c r="G118" t="s">
        <v>254</v>
      </c>
      <c r="H118">
        <v>413.1463</v>
      </c>
    </row>
    <row r="119" spans="1:8" x14ac:dyDescent="0.3">
      <c r="A119">
        <v>489</v>
      </c>
      <c r="B119" t="s">
        <v>263</v>
      </c>
      <c r="C119" t="s">
        <v>149</v>
      </c>
      <c r="D119" t="s">
        <v>260</v>
      </c>
      <c r="E119" t="s">
        <v>261</v>
      </c>
      <c r="F119">
        <v>782.99</v>
      </c>
      <c r="G119" t="s">
        <v>254</v>
      </c>
      <c r="H119">
        <v>486.70659999999998</v>
      </c>
    </row>
    <row r="120" spans="1:8" x14ac:dyDescent="0.3">
      <c r="A120">
        <v>488</v>
      </c>
      <c r="B120" t="s">
        <v>264</v>
      </c>
      <c r="C120" t="s">
        <v>149</v>
      </c>
      <c r="D120" t="s">
        <v>260</v>
      </c>
      <c r="E120" t="s">
        <v>261</v>
      </c>
      <c r="F120">
        <v>699.09820000000002</v>
      </c>
      <c r="G120" t="s">
        <v>254</v>
      </c>
      <c r="H120">
        <v>413.1463</v>
      </c>
    </row>
    <row r="121" spans="1:8" x14ac:dyDescent="0.3">
      <c r="A121">
        <v>487</v>
      </c>
      <c r="B121" t="s">
        <v>265</v>
      </c>
      <c r="C121" t="s">
        <v>132</v>
      </c>
      <c r="D121" t="s">
        <v>202</v>
      </c>
      <c r="E121" t="s">
        <v>266</v>
      </c>
      <c r="F121">
        <v>782.99</v>
      </c>
      <c r="G121" t="s">
        <v>254</v>
      </c>
      <c r="H121">
        <v>486.70659999999998</v>
      </c>
    </row>
    <row r="122" spans="1:8" x14ac:dyDescent="0.3">
      <c r="A122">
        <v>486</v>
      </c>
      <c r="B122" t="s">
        <v>267</v>
      </c>
      <c r="C122" t="s">
        <v>119</v>
      </c>
      <c r="D122" t="s">
        <v>202</v>
      </c>
      <c r="E122" t="s">
        <v>268</v>
      </c>
      <c r="F122">
        <v>699.09820000000002</v>
      </c>
      <c r="G122" t="s">
        <v>254</v>
      </c>
      <c r="H122">
        <v>413.1463</v>
      </c>
    </row>
    <row r="123" spans="1:8" x14ac:dyDescent="0.3">
      <c r="A123">
        <v>485</v>
      </c>
      <c r="B123" t="s">
        <v>269</v>
      </c>
      <c r="C123" t="s">
        <v>119</v>
      </c>
      <c r="D123" t="s">
        <v>202</v>
      </c>
      <c r="E123" t="s">
        <v>270</v>
      </c>
      <c r="F123">
        <v>782.99</v>
      </c>
      <c r="G123" t="s">
        <v>254</v>
      </c>
      <c r="H123">
        <v>486.70659999999998</v>
      </c>
    </row>
    <row r="124" spans="1:8" x14ac:dyDescent="0.3">
      <c r="A124">
        <v>484</v>
      </c>
      <c r="B124" t="s">
        <v>271</v>
      </c>
      <c r="C124" t="s">
        <v>119</v>
      </c>
      <c r="D124" t="s">
        <v>202</v>
      </c>
      <c r="E124" t="s">
        <v>272</v>
      </c>
      <c r="F124">
        <v>699.09820000000002</v>
      </c>
      <c r="G124" t="s">
        <v>254</v>
      </c>
      <c r="H124">
        <v>413.1463</v>
      </c>
    </row>
    <row r="125" spans="1:8" x14ac:dyDescent="0.3">
      <c r="A125">
        <v>483</v>
      </c>
      <c r="B125" t="s">
        <v>273</v>
      </c>
      <c r="C125" t="s">
        <v>119</v>
      </c>
      <c r="D125" t="s">
        <v>202</v>
      </c>
      <c r="E125" t="s">
        <v>274</v>
      </c>
      <c r="F125">
        <v>782.99</v>
      </c>
      <c r="G125" t="s">
        <v>254</v>
      </c>
      <c r="H125">
        <v>486.70659999999998</v>
      </c>
    </row>
    <row r="126" spans="1:8" x14ac:dyDescent="0.3">
      <c r="A126">
        <v>482</v>
      </c>
      <c r="B126" t="s">
        <v>275</v>
      </c>
      <c r="C126" t="s">
        <v>276</v>
      </c>
      <c r="D126" t="s">
        <v>260</v>
      </c>
      <c r="E126" t="s">
        <v>277</v>
      </c>
      <c r="F126">
        <v>699.09820000000002</v>
      </c>
      <c r="G126" t="s">
        <v>254</v>
      </c>
      <c r="H126">
        <v>413.1463</v>
      </c>
    </row>
    <row r="127" spans="1:8" x14ac:dyDescent="0.3">
      <c r="A127">
        <v>481</v>
      </c>
      <c r="B127" t="s">
        <v>278</v>
      </c>
      <c r="C127" t="s">
        <v>276</v>
      </c>
      <c r="D127" t="s">
        <v>260</v>
      </c>
      <c r="E127" t="s">
        <v>277</v>
      </c>
      <c r="F127">
        <v>782.99</v>
      </c>
      <c r="G127" t="s">
        <v>254</v>
      </c>
      <c r="H127">
        <v>486.70659999999998</v>
      </c>
    </row>
    <row r="128" spans="1:8" x14ac:dyDescent="0.3">
      <c r="A128">
        <v>480</v>
      </c>
      <c r="B128" t="s">
        <v>279</v>
      </c>
      <c r="C128" t="s">
        <v>119</v>
      </c>
      <c r="D128" t="s">
        <v>202</v>
      </c>
      <c r="E128" t="s">
        <v>203</v>
      </c>
      <c r="F128">
        <v>699.09820000000002</v>
      </c>
      <c r="G128" t="s">
        <v>254</v>
      </c>
      <c r="H128">
        <v>413.1463</v>
      </c>
    </row>
    <row r="129" spans="1:8" x14ac:dyDescent="0.3">
      <c r="A129">
        <v>479</v>
      </c>
      <c r="B129" t="s">
        <v>280</v>
      </c>
      <c r="C129" t="s">
        <v>119</v>
      </c>
      <c r="D129" t="s">
        <v>202</v>
      </c>
      <c r="E129" t="s">
        <v>281</v>
      </c>
      <c r="F129">
        <v>782.99</v>
      </c>
      <c r="G129" t="s">
        <v>254</v>
      </c>
      <c r="H129">
        <v>486.70659999999998</v>
      </c>
    </row>
    <row r="130" spans="1:8" x14ac:dyDescent="0.3">
      <c r="A130">
        <v>478</v>
      </c>
      <c r="B130" t="s">
        <v>282</v>
      </c>
      <c r="C130" t="s">
        <v>119</v>
      </c>
      <c r="D130" t="s">
        <v>202</v>
      </c>
      <c r="E130" t="s">
        <v>281</v>
      </c>
      <c r="F130">
        <v>699.09820000000002</v>
      </c>
      <c r="G130" t="s">
        <v>254</v>
      </c>
      <c r="H130">
        <v>413.1463</v>
      </c>
    </row>
    <row r="131" spans="1:8" x14ac:dyDescent="0.3">
      <c r="A131">
        <v>477</v>
      </c>
      <c r="B131" t="s">
        <v>283</v>
      </c>
      <c r="C131" t="s">
        <v>119</v>
      </c>
      <c r="D131" t="s">
        <v>202</v>
      </c>
      <c r="E131" t="s">
        <v>281</v>
      </c>
      <c r="F131">
        <v>782.99</v>
      </c>
      <c r="G131" t="s">
        <v>254</v>
      </c>
      <c r="H131">
        <v>486.70659999999998</v>
      </c>
    </row>
    <row r="132" spans="1:8" x14ac:dyDescent="0.3">
      <c r="A132">
        <v>476</v>
      </c>
      <c r="B132" t="s">
        <v>284</v>
      </c>
      <c r="C132" t="s">
        <v>111</v>
      </c>
      <c r="D132" t="s">
        <v>260</v>
      </c>
      <c r="E132" t="s">
        <v>285</v>
      </c>
      <c r="F132">
        <v>699.09820000000002</v>
      </c>
      <c r="G132" t="s">
        <v>254</v>
      </c>
      <c r="H132">
        <v>413.1463</v>
      </c>
    </row>
    <row r="133" spans="1:8" x14ac:dyDescent="0.3">
      <c r="A133">
        <v>475</v>
      </c>
      <c r="B133" t="s">
        <v>286</v>
      </c>
      <c r="C133" t="s">
        <v>111</v>
      </c>
      <c r="D133" t="s">
        <v>260</v>
      </c>
      <c r="E133" t="s">
        <v>285</v>
      </c>
      <c r="F133">
        <v>782.99</v>
      </c>
      <c r="G133" t="s">
        <v>254</v>
      </c>
      <c r="H133">
        <v>486.70659999999998</v>
      </c>
    </row>
    <row r="134" spans="1:8" x14ac:dyDescent="0.3">
      <c r="A134">
        <v>474</v>
      </c>
      <c r="B134" t="s">
        <v>287</v>
      </c>
      <c r="C134" t="s">
        <v>111</v>
      </c>
      <c r="D134" t="s">
        <v>260</v>
      </c>
      <c r="E134" t="s">
        <v>285</v>
      </c>
      <c r="F134">
        <v>699.09820000000002</v>
      </c>
      <c r="G134" t="s">
        <v>254</v>
      </c>
      <c r="H134">
        <v>413.1463</v>
      </c>
    </row>
    <row r="135" spans="1:8" x14ac:dyDescent="0.3">
      <c r="A135">
        <v>473</v>
      </c>
      <c r="B135" t="s">
        <v>288</v>
      </c>
      <c r="C135" t="s">
        <v>144</v>
      </c>
      <c r="D135" t="s">
        <v>260</v>
      </c>
      <c r="E135" t="s">
        <v>289</v>
      </c>
      <c r="F135">
        <v>782.99</v>
      </c>
      <c r="G135" t="s">
        <v>254</v>
      </c>
      <c r="H135">
        <v>486.70659999999998</v>
      </c>
    </row>
    <row r="136" spans="1:8" x14ac:dyDescent="0.3">
      <c r="A136">
        <v>472</v>
      </c>
      <c r="B136" t="s">
        <v>290</v>
      </c>
      <c r="C136" t="s">
        <v>144</v>
      </c>
      <c r="D136" t="s">
        <v>260</v>
      </c>
      <c r="E136" t="s">
        <v>289</v>
      </c>
      <c r="F136">
        <v>3399.99</v>
      </c>
      <c r="G136" t="s">
        <v>291</v>
      </c>
      <c r="H136">
        <v>1912.1543999999999</v>
      </c>
    </row>
    <row r="137" spans="1:8" x14ac:dyDescent="0.3">
      <c r="A137">
        <v>471</v>
      </c>
      <c r="B137" t="s">
        <v>292</v>
      </c>
      <c r="C137" t="s">
        <v>144</v>
      </c>
      <c r="D137" t="s">
        <v>260</v>
      </c>
      <c r="E137" t="s">
        <v>289</v>
      </c>
      <c r="F137">
        <v>3399.99</v>
      </c>
      <c r="G137" t="s">
        <v>291</v>
      </c>
      <c r="H137">
        <v>1912.1543999999999</v>
      </c>
    </row>
    <row r="138" spans="1:8" x14ac:dyDescent="0.3">
      <c r="A138">
        <v>470</v>
      </c>
      <c r="B138" t="s">
        <v>293</v>
      </c>
      <c r="C138" t="s">
        <v>111</v>
      </c>
      <c r="D138" t="s">
        <v>260</v>
      </c>
      <c r="E138" t="s">
        <v>294</v>
      </c>
      <c r="F138">
        <v>3399.99</v>
      </c>
      <c r="G138" t="s">
        <v>291</v>
      </c>
      <c r="H138">
        <v>1912.1543999999999</v>
      </c>
    </row>
    <row r="139" spans="1:8" x14ac:dyDescent="0.3">
      <c r="A139">
        <v>469</v>
      </c>
      <c r="B139" t="s">
        <v>295</v>
      </c>
      <c r="C139" t="s">
        <v>111</v>
      </c>
      <c r="D139" t="s">
        <v>260</v>
      </c>
      <c r="E139" t="s">
        <v>294</v>
      </c>
      <c r="F139">
        <v>3399.99</v>
      </c>
      <c r="G139" t="s">
        <v>291</v>
      </c>
      <c r="H139">
        <v>1912.1543999999999</v>
      </c>
    </row>
    <row r="140" spans="1:8" x14ac:dyDescent="0.3">
      <c r="A140">
        <v>468</v>
      </c>
      <c r="B140" t="s">
        <v>296</v>
      </c>
      <c r="C140" t="s">
        <v>111</v>
      </c>
      <c r="D140" t="s">
        <v>260</v>
      </c>
      <c r="E140" t="s">
        <v>294</v>
      </c>
      <c r="F140">
        <v>3374.99</v>
      </c>
      <c r="G140" t="s">
        <v>291</v>
      </c>
      <c r="H140">
        <v>1898.0944</v>
      </c>
    </row>
    <row r="141" spans="1:8" x14ac:dyDescent="0.3">
      <c r="A141">
        <v>467</v>
      </c>
      <c r="B141" t="s">
        <v>297</v>
      </c>
      <c r="C141" t="s">
        <v>111</v>
      </c>
      <c r="D141" t="s">
        <v>260</v>
      </c>
      <c r="E141" t="s">
        <v>294</v>
      </c>
      <c r="F141">
        <v>3374.99</v>
      </c>
      <c r="G141" t="s">
        <v>291</v>
      </c>
      <c r="H141">
        <v>1898.0944</v>
      </c>
    </row>
    <row r="142" spans="1:8" x14ac:dyDescent="0.3">
      <c r="A142">
        <v>466</v>
      </c>
      <c r="B142" t="s">
        <v>297</v>
      </c>
      <c r="C142" t="s">
        <v>111</v>
      </c>
      <c r="D142" t="s">
        <v>260</v>
      </c>
      <c r="E142" t="s">
        <v>294</v>
      </c>
      <c r="F142">
        <v>3374.99</v>
      </c>
      <c r="G142" t="s">
        <v>291</v>
      </c>
      <c r="H142">
        <v>1898.0944</v>
      </c>
    </row>
    <row r="143" spans="1:8" x14ac:dyDescent="0.3">
      <c r="A143">
        <v>465</v>
      </c>
      <c r="B143" t="s">
        <v>298</v>
      </c>
      <c r="C143" t="s">
        <v>111</v>
      </c>
      <c r="D143" t="s">
        <v>260</v>
      </c>
      <c r="E143" t="s">
        <v>294</v>
      </c>
      <c r="F143">
        <v>3374.99</v>
      </c>
      <c r="G143" t="s">
        <v>291</v>
      </c>
      <c r="H143">
        <v>1898.0944</v>
      </c>
    </row>
    <row r="144" spans="1:8" x14ac:dyDescent="0.3">
      <c r="A144">
        <v>464</v>
      </c>
      <c r="B144" t="s">
        <v>298</v>
      </c>
      <c r="C144" t="s">
        <v>111</v>
      </c>
      <c r="D144" t="s">
        <v>260</v>
      </c>
      <c r="E144" t="s">
        <v>294</v>
      </c>
      <c r="F144">
        <v>2071.4196000000002</v>
      </c>
      <c r="G144" t="s">
        <v>299</v>
      </c>
      <c r="H144">
        <v>1117.8559</v>
      </c>
    </row>
    <row r="145" spans="1:8" x14ac:dyDescent="0.3">
      <c r="A145">
        <v>463</v>
      </c>
      <c r="B145" t="s">
        <v>300</v>
      </c>
      <c r="C145" t="s">
        <v>111</v>
      </c>
      <c r="D145" t="s">
        <v>260</v>
      </c>
      <c r="E145" t="s">
        <v>294</v>
      </c>
      <c r="F145">
        <v>2319.9899999999998</v>
      </c>
      <c r="G145" t="s">
        <v>299</v>
      </c>
      <c r="H145">
        <v>1265.6195</v>
      </c>
    </row>
    <row r="146" spans="1:8" x14ac:dyDescent="0.3">
      <c r="A146">
        <v>462</v>
      </c>
      <c r="B146" t="s">
        <v>300</v>
      </c>
      <c r="C146" t="s">
        <v>111</v>
      </c>
      <c r="D146" t="s">
        <v>260</v>
      </c>
      <c r="E146" t="s">
        <v>294</v>
      </c>
      <c r="F146">
        <v>2071.4196000000002</v>
      </c>
      <c r="G146" t="s">
        <v>299</v>
      </c>
      <c r="H146">
        <v>1117.8559</v>
      </c>
    </row>
    <row r="147" spans="1:8" x14ac:dyDescent="0.3">
      <c r="A147">
        <v>461</v>
      </c>
      <c r="B147" t="s">
        <v>301</v>
      </c>
      <c r="C147" t="s">
        <v>302</v>
      </c>
      <c r="D147" t="s">
        <v>260</v>
      </c>
      <c r="E147" t="s">
        <v>303</v>
      </c>
      <c r="F147">
        <v>2319.9899999999998</v>
      </c>
      <c r="G147" t="s">
        <v>299</v>
      </c>
      <c r="H147">
        <v>1265.6195</v>
      </c>
    </row>
    <row r="148" spans="1:8" x14ac:dyDescent="0.3">
      <c r="A148">
        <v>460</v>
      </c>
      <c r="B148" t="s">
        <v>304</v>
      </c>
      <c r="C148" t="s">
        <v>302</v>
      </c>
      <c r="D148" t="s">
        <v>260</v>
      </c>
      <c r="E148" t="s">
        <v>303</v>
      </c>
      <c r="F148">
        <v>2071.4196000000002</v>
      </c>
      <c r="G148" t="s">
        <v>299</v>
      </c>
      <c r="H148">
        <v>1117.8559</v>
      </c>
    </row>
    <row r="149" spans="1:8" x14ac:dyDescent="0.3">
      <c r="A149">
        <v>459</v>
      </c>
      <c r="B149" t="s">
        <v>305</v>
      </c>
      <c r="C149" t="s">
        <v>302</v>
      </c>
      <c r="D149" t="s">
        <v>260</v>
      </c>
      <c r="E149" t="s">
        <v>303</v>
      </c>
      <c r="F149">
        <v>2319.9899999999998</v>
      </c>
      <c r="G149" t="s">
        <v>299</v>
      </c>
      <c r="H149">
        <v>1265.6195</v>
      </c>
    </row>
    <row r="150" spans="1:8" x14ac:dyDescent="0.3">
      <c r="A150">
        <v>458</v>
      </c>
      <c r="B150" t="s">
        <v>306</v>
      </c>
      <c r="C150" t="s">
        <v>111</v>
      </c>
      <c r="D150" t="s">
        <v>260</v>
      </c>
      <c r="E150" t="s">
        <v>307</v>
      </c>
      <c r="F150">
        <v>2049.0981999999999</v>
      </c>
      <c r="G150" t="s">
        <v>299</v>
      </c>
      <c r="H150">
        <v>1105.81</v>
      </c>
    </row>
    <row r="151" spans="1:8" x14ac:dyDescent="0.3">
      <c r="A151">
        <v>457</v>
      </c>
      <c r="B151" t="s">
        <v>308</v>
      </c>
      <c r="C151" t="s">
        <v>111</v>
      </c>
      <c r="D151" t="s">
        <v>260</v>
      </c>
      <c r="E151" t="s">
        <v>307</v>
      </c>
      <c r="F151">
        <v>2294.9899999999998</v>
      </c>
      <c r="G151" t="s">
        <v>299</v>
      </c>
      <c r="H151">
        <v>1251.9812999999999</v>
      </c>
    </row>
    <row r="152" spans="1:8" x14ac:dyDescent="0.3">
      <c r="A152">
        <v>456</v>
      </c>
      <c r="B152" t="s">
        <v>309</v>
      </c>
      <c r="C152" t="s">
        <v>111</v>
      </c>
      <c r="D152" t="s">
        <v>260</v>
      </c>
      <c r="E152" t="s">
        <v>307</v>
      </c>
      <c r="F152">
        <v>2049.0981999999999</v>
      </c>
      <c r="G152" t="s">
        <v>299</v>
      </c>
      <c r="H152">
        <v>1105.81</v>
      </c>
    </row>
    <row r="153" spans="1:8" x14ac:dyDescent="0.3">
      <c r="A153">
        <v>455</v>
      </c>
      <c r="B153" t="s">
        <v>310</v>
      </c>
      <c r="C153" t="s">
        <v>111</v>
      </c>
      <c r="D153" t="s">
        <v>260</v>
      </c>
      <c r="E153" t="s">
        <v>285</v>
      </c>
      <c r="F153">
        <v>2294.9899999999998</v>
      </c>
      <c r="G153" t="s">
        <v>299</v>
      </c>
      <c r="H153">
        <v>1251.9812999999999</v>
      </c>
    </row>
    <row r="154" spans="1:8" x14ac:dyDescent="0.3">
      <c r="A154">
        <v>454</v>
      </c>
      <c r="B154" t="s">
        <v>311</v>
      </c>
      <c r="C154" t="s">
        <v>111</v>
      </c>
      <c r="D154" t="s">
        <v>260</v>
      </c>
      <c r="E154" t="s">
        <v>285</v>
      </c>
      <c r="F154">
        <v>2049.0981999999999</v>
      </c>
      <c r="G154" t="s">
        <v>299</v>
      </c>
      <c r="H154">
        <v>1105.81</v>
      </c>
    </row>
    <row r="155" spans="1:8" x14ac:dyDescent="0.3">
      <c r="A155">
        <v>453</v>
      </c>
      <c r="B155" t="s">
        <v>312</v>
      </c>
      <c r="C155" t="s">
        <v>111</v>
      </c>
      <c r="D155" t="s">
        <v>260</v>
      </c>
      <c r="E155" t="s">
        <v>285</v>
      </c>
      <c r="F155">
        <v>2294.9899999999998</v>
      </c>
      <c r="G155" t="s">
        <v>299</v>
      </c>
      <c r="H155">
        <v>1251.9812999999999</v>
      </c>
    </row>
    <row r="156" spans="1:8" x14ac:dyDescent="0.3">
      <c r="A156">
        <v>452</v>
      </c>
      <c r="B156" t="s">
        <v>313</v>
      </c>
      <c r="C156" t="s">
        <v>119</v>
      </c>
      <c r="D156" t="s">
        <v>202</v>
      </c>
      <c r="E156" t="s">
        <v>314</v>
      </c>
      <c r="F156">
        <v>1079.99</v>
      </c>
      <c r="G156" t="s">
        <v>315</v>
      </c>
      <c r="H156">
        <v>598.43539999999996</v>
      </c>
    </row>
    <row r="157" spans="1:8" x14ac:dyDescent="0.3">
      <c r="A157">
        <v>451</v>
      </c>
      <c r="B157" t="s">
        <v>316</v>
      </c>
      <c r="C157" t="s">
        <v>119</v>
      </c>
      <c r="D157" t="s">
        <v>202</v>
      </c>
      <c r="E157" t="s">
        <v>314</v>
      </c>
      <c r="F157">
        <v>1079.99</v>
      </c>
      <c r="G157" t="s">
        <v>315</v>
      </c>
      <c r="H157">
        <v>598.43539999999996</v>
      </c>
    </row>
    <row r="158" spans="1:8" x14ac:dyDescent="0.3">
      <c r="A158">
        <v>450</v>
      </c>
      <c r="B158" t="s">
        <v>317</v>
      </c>
      <c r="C158" t="s">
        <v>119</v>
      </c>
      <c r="D158" t="s">
        <v>202</v>
      </c>
      <c r="E158" t="s">
        <v>314</v>
      </c>
      <c r="F158">
        <v>1079.99</v>
      </c>
      <c r="G158" t="s">
        <v>315</v>
      </c>
      <c r="H158">
        <v>598.43539999999996</v>
      </c>
    </row>
    <row r="159" spans="1:8" x14ac:dyDescent="0.3">
      <c r="A159">
        <v>449</v>
      </c>
      <c r="B159" t="s">
        <v>318</v>
      </c>
      <c r="C159" t="s">
        <v>119</v>
      </c>
      <c r="D159" t="s">
        <v>202</v>
      </c>
      <c r="E159" t="s">
        <v>319</v>
      </c>
      <c r="F159">
        <v>1079.99</v>
      </c>
      <c r="G159" t="s">
        <v>315</v>
      </c>
      <c r="H159">
        <v>598.43539999999996</v>
      </c>
    </row>
    <row r="160" spans="1:8" x14ac:dyDescent="0.3">
      <c r="A160">
        <v>448</v>
      </c>
      <c r="B160" t="s">
        <v>320</v>
      </c>
      <c r="C160" t="s">
        <v>119</v>
      </c>
      <c r="D160" t="s">
        <v>202</v>
      </c>
      <c r="E160" t="s">
        <v>319</v>
      </c>
      <c r="F160">
        <v>2443.35</v>
      </c>
      <c r="G160" t="s">
        <v>321</v>
      </c>
      <c r="H160">
        <v>1518.7864</v>
      </c>
    </row>
    <row r="161" spans="1:8" x14ac:dyDescent="0.3">
      <c r="A161">
        <v>447</v>
      </c>
      <c r="B161" t="s">
        <v>322</v>
      </c>
      <c r="C161" t="s">
        <v>119</v>
      </c>
      <c r="D161" t="s">
        <v>202</v>
      </c>
      <c r="E161" t="s">
        <v>323</v>
      </c>
      <c r="F161">
        <v>2443.35</v>
      </c>
      <c r="G161" t="s">
        <v>321</v>
      </c>
      <c r="H161">
        <v>1518.7864</v>
      </c>
    </row>
    <row r="162" spans="1:8" x14ac:dyDescent="0.3">
      <c r="A162">
        <v>446</v>
      </c>
      <c r="B162" t="s">
        <v>324</v>
      </c>
      <c r="C162" t="s">
        <v>325</v>
      </c>
      <c r="D162" t="s">
        <v>202</v>
      </c>
      <c r="E162" t="s">
        <v>326</v>
      </c>
      <c r="F162">
        <v>2443.35</v>
      </c>
      <c r="G162" t="s">
        <v>321</v>
      </c>
      <c r="H162">
        <v>1518.7864</v>
      </c>
    </row>
    <row r="163" spans="1:8" x14ac:dyDescent="0.3">
      <c r="A163">
        <v>445</v>
      </c>
      <c r="B163" t="s">
        <v>327</v>
      </c>
      <c r="C163" t="s">
        <v>111</v>
      </c>
      <c r="D163" t="s">
        <v>260</v>
      </c>
      <c r="E163" t="s">
        <v>285</v>
      </c>
      <c r="F163">
        <v>2181.5625</v>
      </c>
      <c r="G163" t="s">
        <v>321</v>
      </c>
      <c r="H163">
        <v>1320.6838</v>
      </c>
    </row>
    <row r="164" spans="1:8" x14ac:dyDescent="0.3">
      <c r="A164">
        <v>444</v>
      </c>
      <c r="B164" t="s">
        <v>328</v>
      </c>
      <c r="C164" t="s">
        <v>111</v>
      </c>
      <c r="D164" t="s">
        <v>120</v>
      </c>
      <c r="E164" t="s">
        <v>329</v>
      </c>
      <c r="F164">
        <v>2443.35</v>
      </c>
      <c r="G164" t="s">
        <v>321</v>
      </c>
      <c r="H164">
        <v>1554.9478999999999</v>
      </c>
    </row>
    <row r="165" spans="1:8" x14ac:dyDescent="0.3">
      <c r="A165">
        <v>443</v>
      </c>
      <c r="B165" t="s">
        <v>328</v>
      </c>
      <c r="C165" t="s">
        <v>111</v>
      </c>
      <c r="D165" t="s">
        <v>120</v>
      </c>
      <c r="E165" t="s">
        <v>329</v>
      </c>
      <c r="F165">
        <v>2181.5625</v>
      </c>
      <c r="G165" t="s">
        <v>321</v>
      </c>
      <c r="H165">
        <v>1320.6838</v>
      </c>
    </row>
    <row r="166" spans="1:8" x14ac:dyDescent="0.3">
      <c r="A166">
        <v>442</v>
      </c>
      <c r="B166" t="s">
        <v>330</v>
      </c>
      <c r="C166" t="s">
        <v>111</v>
      </c>
      <c r="D166" t="s">
        <v>120</v>
      </c>
      <c r="E166" t="s">
        <v>329</v>
      </c>
      <c r="F166">
        <v>2443.35</v>
      </c>
      <c r="G166" t="s">
        <v>321</v>
      </c>
      <c r="H166">
        <v>1554.9478999999999</v>
      </c>
    </row>
    <row r="167" spans="1:8" x14ac:dyDescent="0.3">
      <c r="A167">
        <v>441</v>
      </c>
      <c r="B167" t="s">
        <v>330</v>
      </c>
      <c r="C167" t="s">
        <v>111</v>
      </c>
      <c r="D167" t="s">
        <v>120</v>
      </c>
      <c r="E167" t="s">
        <v>329</v>
      </c>
      <c r="F167">
        <v>2181.5625</v>
      </c>
      <c r="G167" t="s">
        <v>321</v>
      </c>
      <c r="H167">
        <v>1320.6838</v>
      </c>
    </row>
    <row r="168" spans="1:8" x14ac:dyDescent="0.3">
      <c r="A168">
        <v>440</v>
      </c>
      <c r="B168" t="s">
        <v>331</v>
      </c>
      <c r="C168" t="s">
        <v>111</v>
      </c>
      <c r="D168" t="s">
        <v>120</v>
      </c>
      <c r="E168" t="s">
        <v>329</v>
      </c>
      <c r="F168">
        <v>2443.35</v>
      </c>
      <c r="G168" t="s">
        <v>321</v>
      </c>
      <c r="H168">
        <v>1554.9478999999999</v>
      </c>
    </row>
    <row r="169" spans="1:8" x14ac:dyDescent="0.3">
      <c r="A169">
        <v>439</v>
      </c>
      <c r="B169" t="s">
        <v>331</v>
      </c>
      <c r="C169" t="s">
        <v>111</v>
      </c>
      <c r="D169" t="s">
        <v>120</v>
      </c>
      <c r="E169" t="s">
        <v>329</v>
      </c>
      <c r="F169">
        <v>2181.5625</v>
      </c>
      <c r="G169" t="s">
        <v>321</v>
      </c>
      <c r="H169">
        <v>1320.6838</v>
      </c>
    </row>
    <row r="170" spans="1:8" x14ac:dyDescent="0.3">
      <c r="A170">
        <v>438</v>
      </c>
      <c r="B170" t="s">
        <v>332</v>
      </c>
      <c r="C170" t="s">
        <v>111</v>
      </c>
      <c r="D170" t="s">
        <v>120</v>
      </c>
      <c r="E170" t="s">
        <v>329</v>
      </c>
      <c r="F170">
        <v>2443.35</v>
      </c>
      <c r="G170" t="s">
        <v>321</v>
      </c>
      <c r="H170">
        <v>1554.9478999999999</v>
      </c>
    </row>
    <row r="171" spans="1:8" x14ac:dyDescent="0.3">
      <c r="A171">
        <v>437</v>
      </c>
      <c r="B171" t="s">
        <v>332</v>
      </c>
      <c r="C171" t="s">
        <v>111</v>
      </c>
      <c r="D171" t="s">
        <v>120</v>
      </c>
      <c r="E171" t="s">
        <v>329</v>
      </c>
      <c r="F171">
        <v>2181.5625</v>
      </c>
      <c r="G171" t="s">
        <v>321</v>
      </c>
      <c r="H171">
        <v>1320.6838</v>
      </c>
    </row>
    <row r="172" spans="1:8" x14ac:dyDescent="0.3">
      <c r="A172">
        <v>436</v>
      </c>
      <c r="B172" t="s">
        <v>333</v>
      </c>
      <c r="C172" t="s">
        <v>149</v>
      </c>
      <c r="D172" t="s">
        <v>120</v>
      </c>
      <c r="E172" t="s">
        <v>329</v>
      </c>
      <c r="F172">
        <v>2443.35</v>
      </c>
      <c r="G172" t="s">
        <v>321</v>
      </c>
      <c r="H172">
        <v>1554.9478999999999</v>
      </c>
    </row>
    <row r="173" spans="1:8" x14ac:dyDescent="0.3">
      <c r="A173">
        <v>435</v>
      </c>
      <c r="B173" t="s">
        <v>333</v>
      </c>
      <c r="C173" t="s">
        <v>149</v>
      </c>
      <c r="D173" t="s">
        <v>120</v>
      </c>
      <c r="E173" t="s">
        <v>329</v>
      </c>
      <c r="F173">
        <v>1000.4375</v>
      </c>
      <c r="G173" t="s">
        <v>334</v>
      </c>
      <c r="H173">
        <v>605.64919999999995</v>
      </c>
    </row>
    <row r="174" spans="1:8" x14ac:dyDescent="0.3">
      <c r="A174">
        <v>434</v>
      </c>
      <c r="B174" t="s">
        <v>335</v>
      </c>
      <c r="C174" t="s">
        <v>149</v>
      </c>
      <c r="D174" t="s">
        <v>120</v>
      </c>
      <c r="E174" t="s">
        <v>329</v>
      </c>
      <c r="F174">
        <v>1120.49</v>
      </c>
      <c r="G174" t="s">
        <v>334</v>
      </c>
      <c r="H174">
        <v>713.07979999999998</v>
      </c>
    </row>
    <row r="175" spans="1:8" x14ac:dyDescent="0.3">
      <c r="A175">
        <v>433</v>
      </c>
      <c r="B175" t="s">
        <v>335</v>
      </c>
      <c r="C175" t="s">
        <v>149</v>
      </c>
      <c r="D175" t="s">
        <v>120</v>
      </c>
      <c r="E175" t="s">
        <v>329</v>
      </c>
      <c r="F175">
        <v>1000.4375</v>
      </c>
      <c r="G175" t="s">
        <v>334</v>
      </c>
      <c r="H175">
        <v>605.64919999999995</v>
      </c>
    </row>
    <row r="176" spans="1:8" x14ac:dyDescent="0.3">
      <c r="A176">
        <v>432</v>
      </c>
      <c r="B176" t="s">
        <v>336</v>
      </c>
      <c r="C176" t="s">
        <v>149</v>
      </c>
      <c r="D176" t="s">
        <v>120</v>
      </c>
      <c r="E176" t="s">
        <v>329</v>
      </c>
      <c r="F176">
        <v>1120.49</v>
      </c>
      <c r="G176" t="s">
        <v>334</v>
      </c>
      <c r="H176">
        <v>713.07979999999998</v>
      </c>
    </row>
    <row r="177" spans="1:8" x14ac:dyDescent="0.3">
      <c r="A177">
        <v>431</v>
      </c>
      <c r="B177" t="s">
        <v>336</v>
      </c>
      <c r="C177" t="s">
        <v>149</v>
      </c>
      <c r="D177" t="s">
        <v>120</v>
      </c>
      <c r="E177" t="s">
        <v>329</v>
      </c>
      <c r="F177">
        <v>1000.4375</v>
      </c>
      <c r="G177" t="s">
        <v>334</v>
      </c>
      <c r="H177">
        <v>605.64919999999995</v>
      </c>
    </row>
    <row r="178" spans="1:8" x14ac:dyDescent="0.3">
      <c r="A178">
        <v>430</v>
      </c>
      <c r="B178" t="s">
        <v>337</v>
      </c>
      <c r="C178" t="s">
        <v>149</v>
      </c>
      <c r="D178" t="s">
        <v>120</v>
      </c>
      <c r="E178" t="s">
        <v>329</v>
      </c>
      <c r="F178">
        <v>1120.49</v>
      </c>
      <c r="G178" t="s">
        <v>334</v>
      </c>
      <c r="H178">
        <v>713.07979999999998</v>
      </c>
    </row>
    <row r="179" spans="1:8" x14ac:dyDescent="0.3">
      <c r="A179">
        <v>429</v>
      </c>
      <c r="B179" t="s">
        <v>337</v>
      </c>
      <c r="C179" t="s">
        <v>149</v>
      </c>
      <c r="D179" t="s">
        <v>120</v>
      </c>
      <c r="E179" t="s">
        <v>329</v>
      </c>
      <c r="F179">
        <v>1000.4375</v>
      </c>
      <c r="G179" t="s">
        <v>334</v>
      </c>
      <c r="H179">
        <v>605.64919999999995</v>
      </c>
    </row>
    <row r="180" spans="1:8" x14ac:dyDescent="0.3">
      <c r="A180">
        <v>428</v>
      </c>
      <c r="B180" t="s">
        <v>338</v>
      </c>
      <c r="C180" t="s">
        <v>111</v>
      </c>
      <c r="D180" t="s">
        <v>120</v>
      </c>
      <c r="E180" t="s">
        <v>188</v>
      </c>
      <c r="F180">
        <v>1120.49</v>
      </c>
      <c r="G180" t="s">
        <v>334</v>
      </c>
      <c r="H180">
        <v>713.07979999999998</v>
      </c>
    </row>
    <row r="181" spans="1:8" x14ac:dyDescent="0.3">
      <c r="A181">
        <v>427</v>
      </c>
      <c r="B181" t="s">
        <v>339</v>
      </c>
      <c r="C181" t="s">
        <v>111</v>
      </c>
      <c r="D181" t="s">
        <v>120</v>
      </c>
      <c r="E181" t="s">
        <v>188</v>
      </c>
      <c r="F181">
        <v>1000.4375</v>
      </c>
      <c r="G181" t="s">
        <v>334</v>
      </c>
      <c r="H181">
        <v>605.64919999999995</v>
      </c>
    </row>
    <row r="182" spans="1:8" x14ac:dyDescent="0.3">
      <c r="A182">
        <v>426</v>
      </c>
      <c r="B182" t="s">
        <v>340</v>
      </c>
      <c r="C182" t="s">
        <v>111</v>
      </c>
      <c r="D182" t="s">
        <v>120</v>
      </c>
      <c r="E182" t="s">
        <v>188</v>
      </c>
      <c r="F182">
        <v>1120.49</v>
      </c>
      <c r="G182" t="s">
        <v>334</v>
      </c>
      <c r="H182">
        <v>713.07979999999998</v>
      </c>
    </row>
    <row r="183" spans="1:8" x14ac:dyDescent="0.3">
      <c r="A183">
        <v>425</v>
      </c>
      <c r="B183" t="s">
        <v>341</v>
      </c>
      <c r="C183" t="s">
        <v>111</v>
      </c>
      <c r="D183" t="s">
        <v>120</v>
      </c>
      <c r="E183" t="s">
        <v>342</v>
      </c>
      <c r="F183">
        <v>148.22</v>
      </c>
      <c r="G183" t="s">
        <v>343</v>
      </c>
      <c r="H183">
        <v>65.809700000000007</v>
      </c>
    </row>
    <row r="184" spans="1:8" x14ac:dyDescent="0.3">
      <c r="A184">
        <v>424</v>
      </c>
      <c r="B184" t="s">
        <v>344</v>
      </c>
      <c r="C184" t="s">
        <v>111</v>
      </c>
      <c r="D184" t="s">
        <v>120</v>
      </c>
      <c r="E184" t="s">
        <v>342</v>
      </c>
      <c r="F184">
        <v>175.49</v>
      </c>
      <c r="G184" t="s">
        <v>345</v>
      </c>
      <c r="H184">
        <v>77.917599999999993</v>
      </c>
    </row>
    <row r="185" spans="1:8" x14ac:dyDescent="0.3">
      <c r="A185">
        <v>423</v>
      </c>
      <c r="B185" t="s">
        <v>346</v>
      </c>
      <c r="C185" t="s">
        <v>111</v>
      </c>
      <c r="D185" t="s">
        <v>120</v>
      </c>
      <c r="E185" t="s">
        <v>342</v>
      </c>
      <c r="F185">
        <v>229.49</v>
      </c>
      <c r="G185" t="s">
        <v>347</v>
      </c>
      <c r="H185">
        <v>101.89360000000001</v>
      </c>
    </row>
    <row r="186" spans="1:8" x14ac:dyDescent="0.3">
      <c r="A186">
        <v>422</v>
      </c>
      <c r="B186" t="s">
        <v>348</v>
      </c>
      <c r="C186" t="s">
        <v>111</v>
      </c>
      <c r="D186" t="s">
        <v>120</v>
      </c>
      <c r="E186" t="s">
        <v>342</v>
      </c>
      <c r="F186">
        <v>34.200000000000003</v>
      </c>
      <c r="G186" t="s">
        <v>349</v>
      </c>
      <c r="H186">
        <v>15.184799999999999</v>
      </c>
    </row>
    <row r="187" spans="1:8" x14ac:dyDescent="0.3">
      <c r="A187">
        <v>421</v>
      </c>
      <c r="B187" t="s">
        <v>350</v>
      </c>
      <c r="C187" t="s">
        <v>111</v>
      </c>
      <c r="D187" t="s">
        <v>120</v>
      </c>
      <c r="E187" t="s">
        <v>342</v>
      </c>
      <c r="F187">
        <v>102.29</v>
      </c>
      <c r="G187" t="s">
        <v>351</v>
      </c>
      <c r="H187">
        <v>45.416800000000002</v>
      </c>
    </row>
    <row r="188" spans="1:8" x14ac:dyDescent="0.3">
      <c r="A188">
        <v>420</v>
      </c>
      <c r="B188" t="s">
        <v>352</v>
      </c>
      <c r="C188" t="s">
        <v>111</v>
      </c>
      <c r="D188" t="s">
        <v>120</v>
      </c>
      <c r="E188" t="s">
        <v>342</v>
      </c>
      <c r="F188">
        <v>124.73</v>
      </c>
      <c r="G188" t="s">
        <v>353</v>
      </c>
      <c r="H188">
        <v>55.380099999999999</v>
      </c>
    </row>
    <row r="189" spans="1:8" x14ac:dyDescent="0.3">
      <c r="A189">
        <v>419</v>
      </c>
      <c r="B189" t="s">
        <v>354</v>
      </c>
      <c r="C189" t="s">
        <v>111</v>
      </c>
      <c r="D189" t="s">
        <v>120</v>
      </c>
      <c r="E189" t="s">
        <v>342</v>
      </c>
      <c r="F189">
        <v>40.490900000000003</v>
      </c>
      <c r="G189" t="s">
        <v>355</v>
      </c>
      <c r="H189">
        <v>17.978000000000002</v>
      </c>
    </row>
    <row r="190" spans="1:8" x14ac:dyDescent="0.3">
      <c r="A190">
        <v>418</v>
      </c>
      <c r="B190" t="s">
        <v>356</v>
      </c>
      <c r="C190" t="s">
        <v>149</v>
      </c>
      <c r="D190" t="s">
        <v>120</v>
      </c>
      <c r="E190" t="s">
        <v>329</v>
      </c>
      <c r="F190">
        <v>44.54</v>
      </c>
      <c r="G190" t="s">
        <v>355</v>
      </c>
      <c r="H190">
        <v>19.7758</v>
      </c>
    </row>
    <row r="191" spans="1:8" x14ac:dyDescent="0.3">
      <c r="A191">
        <v>417</v>
      </c>
      <c r="B191" t="s">
        <v>356</v>
      </c>
      <c r="C191" t="s">
        <v>149</v>
      </c>
      <c r="D191" t="s">
        <v>120</v>
      </c>
      <c r="E191" t="s">
        <v>329</v>
      </c>
      <c r="F191">
        <v>56.290900000000001</v>
      </c>
      <c r="G191" t="s">
        <v>357</v>
      </c>
      <c r="H191">
        <v>24.993200000000002</v>
      </c>
    </row>
    <row r="192" spans="1:8" x14ac:dyDescent="0.3">
      <c r="A192">
        <v>416</v>
      </c>
      <c r="B192" t="s">
        <v>358</v>
      </c>
      <c r="C192" t="s">
        <v>111</v>
      </c>
      <c r="D192" t="s">
        <v>120</v>
      </c>
      <c r="E192" t="s">
        <v>342</v>
      </c>
      <c r="F192">
        <v>61.92</v>
      </c>
      <c r="G192" t="s">
        <v>357</v>
      </c>
      <c r="H192">
        <v>27.4925</v>
      </c>
    </row>
    <row r="193" spans="1:8" x14ac:dyDescent="0.3">
      <c r="A193">
        <v>415</v>
      </c>
      <c r="B193" t="s">
        <v>359</v>
      </c>
      <c r="C193" t="s">
        <v>111</v>
      </c>
      <c r="D193" t="s">
        <v>120</v>
      </c>
      <c r="E193" t="s">
        <v>342</v>
      </c>
      <c r="F193">
        <v>109.3364</v>
      </c>
      <c r="G193" t="s">
        <v>360</v>
      </c>
      <c r="H193">
        <v>48.545299999999997</v>
      </c>
    </row>
    <row r="194" spans="1:8" x14ac:dyDescent="0.3">
      <c r="A194">
        <v>414</v>
      </c>
      <c r="B194" t="s">
        <v>361</v>
      </c>
      <c r="C194" t="s">
        <v>111</v>
      </c>
      <c r="D194" t="s">
        <v>120</v>
      </c>
      <c r="E194" t="s">
        <v>342</v>
      </c>
      <c r="F194">
        <v>120.27</v>
      </c>
      <c r="G194" t="s">
        <v>360</v>
      </c>
      <c r="H194">
        <v>53.399900000000002</v>
      </c>
    </row>
    <row r="195" spans="1:8" x14ac:dyDescent="0.3">
      <c r="A195">
        <v>413</v>
      </c>
      <c r="B195" t="s">
        <v>362</v>
      </c>
      <c r="C195" t="s">
        <v>111</v>
      </c>
      <c r="D195" t="s">
        <v>120</v>
      </c>
      <c r="E195" t="s">
        <v>342</v>
      </c>
      <c r="F195">
        <v>40.490900000000003</v>
      </c>
      <c r="G195" t="s">
        <v>363</v>
      </c>
      <c r="H195">
        <v>17.978000000000002</v>
      </c>
    </row>
    <row r="196" spans="1:8" x14ac:dyDescent="0.3">
      <c r="A196">
        <v>412</v>
      </c>
      <c r="B196" t="s">
        <v>364</v>
      </c>
      <c r="C196" t="s">
        <v>111</v>
      </c>
      <c r="D196" t="s">
        <v>120</v>
      </c>
      <c r="E196" t="s">
        <v>342</v>
      </c>
      <c r="F196">
        <v>44.54</v>
      </c>
      <c r="G196" t="s">
        <v>363</v>
      </c>
      <c r="H196">
        <v>19.7758</v>
      </c>
    </row>
    <row r="197" spans="1:8" x14ac:dyDescent="0.3">
      <c r="A197">
        <v>411</v>
      </c>
      <c r="B197" t="s">
        <v>365</v>
      </c>
      <c r="C197" t="s">
        <v>111</v>
      </c>
      <c r="D197" t="s">
        <v>120</v>
      </c>
      <c r="E197" t="s">
        <v>342</v>
      </c>
      <c r="F197">
        <v>56.290900000000001</v>
      </c>
      <c r="G197" t="s">
        <v>366</v>
      </c>
      <c r="H197">
        <v>24.993200000000002</v>
      </c>
    </row>
    <row r="198" spans="1:8" x14ac:dyDescent="0.3">
      <c r="A198">
        <v>410</v>
      </c>
      <c r="B198" t="s">
        <v>367</v>
      </c>
      <c r="C198" t="s">
        <v>111</v>
      </c>
      <c r="D198" t="s">
        <v>120</v>
      </c>
      <c r="E198" t="s">
        <v>342</v>
      </c>
      <c r="F198">
        <v>61.92</v>
      </c>
      <c r="G198" t="s">
        <v>366</v>
      </c>
      <c r="H198">
        <v>27.4925</v>
      </c>
    </row>
    <row r="199" spans="1:8" x14ac:dyDescent="0.3">
      <c r="A199">
        <v>409</v>
      </c>
      <c r="B199" t="s">
        <v>368</v>
      </c>
      <c r="C199" t="s">
        <v>111</v>
      </c>
      <c r="D199" t="s">
        <v>120</v>
      </c>
      <c r="E199" t="s">
        <v>188</v>
      </c>
      <c r="F199">
        <v>109.3364</v>
      </c>
      <c r="G199" t="s">
        <v>369</v>
      </c>
      <c r="H199">
        <v>48.545299999999997</v>
      </c>
    </row>
    <row r="200" spans="1:8" x14ac:dyDescent="0.3">
      <c r="A200">
        <v>408</v>
      </c>
      <c r="B200" t="s">
        <v>369</v>
      </c>
      <c r="C200" t="s">
        <v>119</v>
      </c>
      <c r="D200" t="s">
        <v>120</v>
      </c>
      <c r="E200" t="s">
        <v>183</v>
      </c>
      <c r="F200">
        <v>120.27</v>
      </c>
      <c r="G200" t="s">
        <v>369</v>
      </c>
      <c r="H200">
        <v>53.399900000000002</v>
      </c>
    </row>
    <row r="201" spans="1:8" x14ac:dyDescent="0.3">
      <c r="A201">
        <v>407</v>
      </c>
      <c r="B201" t="s">
        <v>369</v>
      </c>
      <c r="C201" t="s">
        <v>119</v>
      </c>
      <c r="D201" t="s">
        <v>120</v>
      </c>
      <c r="E201" t="s">
        <v>183</v>
      </c>
      <c r="F201">
        <v>348.76</v>
      </c>
      <c r="G201" t="s">
        <v>370</v>
      </c>
      <c r="H201">
        <v>185.8193</v>
      </c>
    </row>
    <row r="202" spans="1:8" x14ac:dyDescent="0.3">
      <c r="A202">
        <v>406</v>
      </c>
      <c r="B202" t="s">
        <v>366</v>
      </c>
      <c r="C202" t="s">
        <v>119</v>
      </c>
      <c r="D202" t="s">
        <v>120</v>
      </c>
      <c r="E202" t="s">
        <v>183</v>
      </c>
      <c r="F202">
        <v>60.744999999999997</v>
      </c>
      <c r="G202" t="s">
        <v>367</v>
      </c>
      <c r="H202">
        <v>26.970800000000001</v>
      </c>
    </row>
    <row r="203" spans="1:8" x14ac:dyDescent="0.3">
      <c r="A203">
        <v>405</v>
      </c>
      <c r="B203" t="s">
        <v>366</v>
      </c>
      <c r="C203" t="s">
        <v>119</v>
      </c>
      <c r="D203" t="s">
        <v>120</v>
      </c>
      <c r="E203" t="s">
        <v>183</v>
      </c>
      <c r="F203">
        <v>209.02500000000001</v>
      </c>
      <c r="G203" t="s">
        <v>365</v>
      </c>
      <c r="H203">
        <v>92.807100000000005</v>
      </c>
    </row>
    <row r="204" spans="1:8" x14ac:dyDescent="0.3">
      <c r="A204">
        <v>404</v>
      </c>
      <c r="B204" t="s">
        <v>363</v>
      </c>
      <c r="C204" t="s">
        <v>119</v>
      </c>
      <c r="D204" t="s">
        <v>120</v>
      </c>
      <c r="E204" t="s">
        <v>183</v>
      </c>
      <c r="F204">
        <v>300.21499999999997</v>
      </c>
      <c r="G204" t="s">
        <v>364</v>
      </c>
      <c r="H204">
        <v>133.2955</v>
      </c>
    </row>
    <row r="205" spans="1:8" x14ac:dyDescent="0.3">
      <c r="A205">
        <v>403</v>
      </c>
      <c r="B205" t="s">
        <v>363</v>
      </c>
      <c r="C205" t="s">
        <v>119</v>
      </c>
      <c r="D205" t="s">
        <v>120</v>
      </c>
      <c r="E205" t="s">
        <v>183</v>
      </c>
      <c r="F205">
        <v>85.564999999999998</v>
      </c>
      <c r="G205" t="s">
        <v>362</v>
      </c>
      <c r="H205">
        <v>37.990900000000003</v>
      </c>
    </row>
    <row r="206" spans="1:8" x14ac:dyDescent="0.3">
      <c r="A206">
        <v>402</v>
      </c>
      <c r="B206" t="s">
        <v>360</v>
      </c>
      <c r="C206" t="s">
        <v>119</v>
      </c>
      <c r="D206" t="s">
        <v>120</v>
      </c>
      <c r="E206" t="s">
        <v>183</v>
      </c>
      <c r="F206">
        <v>248.38499999999999</v>
      </c>
      <c r="G206" t="s">
        <v>361</v>
      </c>
      <c r="H206">
        <v>110.2829</v>
      </c>
    </row>
    <row r="207" spans="1:8" x14ac:dyDescent="0.3">
      <c r="A207">
        <v>401</v>
      </c>
      <c r="B207" t="s">
        <v>360</v>
      </c>
      <c r="C207" t="s">
        <v>119</v>
      </c>
      <c r="D207" t="s">
        <v>120</v>
      </c>
      <c r="E207" t="s">
        <v>183</v>
      </c>
      <c r="F207">
        <v>330.06</v>
      </c>
      <c r="G207" t="s">
        <v>359</v>
      </c>
      <c r="H207">
        <v>146.54660000000001</v>
      </c>
    </row>
    <row r="208" spans="1:8" x14ac:dyDescent="0.3">
      <c r="A208">
        <v>400</v>
      </c>
      <c r="B208" t="s">
        <v>357</v>
      </c>
      <c r="C208" t="s">
        <v>119</v>
      </c>
      <c r="D208" t="s">
        <v>120</v>
      </c>
      <c r="E208" t="s">
        <v>183</v>
      </c>
      <c r="F208">
        <v>218.01</v>
      </c>
      <c r="G208" t="s">
        <v>358</v>
      </c>
      <c r="H208">
        <v>96.796400000000006</v>
      </c>
    </row>
    <row r="209" spans="1:8" x14ac:dyDescent="0.3">
      <c r="A209">
        <v>399</v>
      </c>
      <c r="B209" t="s">
        <v>357</v>
      </c>
      <c r="C209" t="s">
        <v>119</v>
      </c>
      <c r="D209" t="s">
        <v>120</v>
      </c>
      <c r="E209" t="s">
        <v>183</v>
      </c>
      <c r="F209">
        <v>540.75450000000001</v>
      </c>
      <c r="G209" t="s">
        <v>371</v>
      </c>
      <c r="H209">
        <v>300.11880000000002</v>
      </c>
    </row>
    <row r="210" spans="1:8" x14ac:dyDescent="0.3">
      <c r="A210">
        <v>398</v>
      </c>
      <c r="B210" t="s">
        <v>355</v>
      </c>
      <c r="C210" t="s">
        <v>119</v>
      </c>
      <c r="D210" t="s">
        <v>120</v>
      </c>
      <c r="E210" t="s">
        <v>183</v>
      </c>
      <c r="F210">
        <v>594.83000000000004</v>
      </c>
      <c r="G210" t="s">
        <v>371</v>
      </c>
      <c r="H210">
        <v>360.94279999999998</v>
      </c>
    </row>
    <row r="211" spans="1:8" x14ac:dyDescent="0.3">
      <c r="A211">
        <v>397</v>
      </c>
      <c r="B211" t="s">
        <v>355</v>
      </c>
      <c r="C211" t="s">
        <v>119</v>
      </c>
      <c r="D211" t="s">
        <v>120</v>
      </c>
      <c r="E211" t="s">
        <v>183</v>
      </c>
      <c r="F211">
        <v>87.745000000000005</v>
      </c>
      <c r="G211" t="s">
        <v>354</v>
      </c>
      <c r="H211">
        <v>38.958799999999997</v>
      </c>
    </row>
    <row r="212" spans="1:8" x14ac:dyDescent="0.3">
      <c r="A212">
        <v>396</v>
      </c>
      <c r="B212" t="s">
        <v>353</v>
      </c>
      <c r="C212" t="s">
        <v>119</v>
      </c>
      <c r="D212" t="s">
        <v>120</v>
      </c>
      <c r="E212" t="s">
        <v>372</v>
      </c>
      <c r="F212">
        <v>236.02500000000001</v>
      </c>
      <c r="G212" t="s">
        <v>352</v>
      </c>
      <c r="H212">
        <v>104.79510000000001</v>
      </c>
    </row>
    <row r="213" spans="1:8" x14ac:dyDescent="0.3">
      <c r="A213">
        <v>395</v>
      </c>
      <c r="B213" t="s">
        <v>351</v>
      </c>
      <c r="C213" t="s">
        <v>119</v>
      </c>
      <c r="D213" t="s">
        <v>120</v>
      </c>
      <c r="E213" t="s">
        <v>372</v>
      </c>
      <c r="F213">
        <v>327.21499999999997</v>
      </c>
      <c r="G213" t="s">
        <v>350</v>
      </c>
      <c r="H213">
        <v>145.2835</v>
      </c>
    </row>
    <row r="214" spans="1:8" x14ac:dyDescent="0.3">
      <c r="A214">
        <v>394</v>
      </c>
      <c r="B214" t="s">
        <v>349</v>
      </c>
      <c r="C214" t="s">
        <v>119</v>
      </c>
      <c r="D214" t="s">
        <v>120</v>
      </c>
      <c r="E214" t="s">
        <v>372</v>
      </c>
      <c r="F214">
        <v>112.565</v>
      </c>
      <c r="G214" t="s">
        <v>348</v>
      </c>
      <c r="H214">
        <v>49.978900000000003</v>
      </c>
    </row>
    <row r="215" spans="1:8" x14ac:dyDescent="0.3">
      <c r="A215">
        <v>393</v>
      </c>
      <c r="B215" t="s">
        <v>347</v>
      </c>
      <c r="C215" t="s">
        <v>119</v>
      </c>
      <c r="D215" t="s">
        <v>120</v>
      </c>
      <c r="E215" t="s">
        <v>373</v>
      </c>
      <c r="F215">
        <v>275.38499999999999</v>
      </c>
      <c r="G215" t="s">
        <v>346</v>
      </c>
      <c r="H215">
        <v>122.2709</v>
      </c>
    </row>
    <row r="216" spans="1:8" x14ac:dyDescent="0.3">
      <c r="A216">
        <v>392</v>
      </c>
      <c r="B216" t="s">
        <v>345</v>
      </c>
      <c r="C216" t="s">
        <v>119</v>
      </c>
      <c r="D216" t="s">
        <v>120</v>
      </c>
      <c r="E216" t="s">
        <v>373</v>
      </c>
      <c r="F216">
        <v>357.06</v>
      </c>
      <c r="G216" t="s">
        <v>344</v>
      </c>
      <c r="H216">
        <v>158.53460000000001</v>
      </c>
    </row>
    <row r="217" spans="1:8" x14ac:dyDescent="0.3">
      <c r="A217">
        <v>391</v>
      </c>
      <c r="B217" t="s">
        <v>343</v>
      </c>
      <c r="C217" t="s">
        <v>119</v>
      </c>
      <c r="D217" t="s">
        <v>120</v>
      </c>
      <c r="E217" t="s">
        <v>373</v>
      </c>
      <c r="F217">
        <v>245.01</v>
      </c>
      <c r="G217" t="s">
        <v>341</v>
      </c>
      <c r="H217">
        <v>108.78440000000001</v>
      </c>
    </row>
    <row r="218" spans="1:8" x14ac:dyDescent="0.3">
      <c r="A218">
        <v>390</v>
      </c>
      <c r="B218" t="s">
        <v>374</v>
      </c>
      <c r="C218" t="s">
        <v>149</v>
      </c>
      <c r="D218" t="s">
        <v>112</v>
      </c>
      <c r="E218" t="s">
        <v>113</v>
      </c>
      <c r="F218">
        <v>348.76</v>
      </c>
      <c r="G218" t="s">
        <v>375</v>
      </c>
      <c r="H218">
        <v>185.8193</v>
      </c>
    </row>
    <row r="219" spans="1:8" x14ac:dyDescent="0.3">
      <c r="A219">
        <v>389</v>
      </c>
      <c r="B219" t="s">
        <v>374</v>
      </c>
      <c r="C219" t="s">
        <v>149</v>
      </c>
      <c r="D219" t="s">
        <v>112</v>
      </c>
      <c r="E219" t="s">
        <v>113</v>
      </c>
      <c r="F219">
        <v>348.76</v>
      </c>
      <c r="G219" t="s">
        <v>375</v>
      </c>
      <c r="H219">
        <v>185.8193</v>
      </c>
    </row>
    <row r="220" spans="1:8" x14ac:dyDescent="0.3">
      <c r="A220">
        <v>388</v>
      </c>
      <c r="B220" t="s">
        <v>376</v>
      </c>
      <c r="C220" t="s">
        <v>149</v>
      </c>
      <c r="D220" t="s">
        <v>112</v>
      </c>
      <c r="E220" t="s">
        <v>113</v>
      </c>
      <c r="F220">
        <v>348.76</v>
      </c>
      <c r="G220" t="s">
        <v>375</v>
      </c>
      <c r="H220">
        <v>185.8193</v>
      </c>
    </row>
    <row r="221" spans="1:8" x14ac:dyDescent="0.3">
      <c r="A221">
        <v>387</v>
      </c>
      <c r="B221" t="s">
        <v>376</v>
      </c>
      <c r="C221" t="s">
        <v>149</v>
      </c>
      <c r="D221" t="s">
        <v>112</v>
      </c>
      <c r="E221" t="s">
        <v>113</v>
      </c>
      <c r="F221">
        <v>540.75450000000001</v>
      </c>
      <c r="G221" t="s">
        <v>371</v>
      </c>
      <c r="H221">
        <v>300.11880000000002</v>
      </c>
    </row>
    <row r="222" spans="1:8" x14ac:dyDescent="0.3">
      <c r="A222">
        <v>386</v>
      </c>
      <c r="B222" t="s">
        <v>377</v>
      </c>
      <c r="C222" t="s">
        <v>149</v>
      </c>
      <c r="D222" t="s">
        <v>112</v>
      </c>
      <c r="E222" t="s">
        <v>113</v>
      </c>
      <c r="F222">
        <v>594.83000000000004</v>
      </c>
      <c r="G222" t="s">
        <v>371</v>
      </c>
      <c r="H222">
        <v>360.94279999999998</v>
      </c>
    </row>
    <row r="223" spans="1:8" x14ac:dyDescent="0.3">
      <c r="A223">
        <v>385</v>
      </c>
      <c r="B223" t="s">
        <v>377</v>
      </c>
      <c r="C223" t="s">
        <v>149</v>
      </c>
      <c r="D223" t="s">
        <v>112</v>
      </c>
      <c r="E223" t="s">
        <v>113</v>
      </c>
      <c r="F223">
        <v>540.75450000000001</v>
      </c>
      <c r="G223" t="s">
        <v>371</v>
      </c>
      <c r="H223">
        <v>300.11880000000002</v>
      </c>
    </row>
    <row r="224" spans="1:8" x14ac:dyDescent="0.3">
      <c r="A224">
        <v>384</v>
      </c>
      <c r="B224" t="s">
        <v>378</v>
      </c>
      <c r="C224" t="s">
        <v>149</v>
      </c>
      <c r="D224" t="s">
        <v>112</v>
      </c>
      <c r="E224" t="s">
        <v>113</v>
      </c>
      <c r="F224">
        <v>594.83000000000004</v>
      </c>
      <c r="G224" t="s">
        <v>371</v>
      </c>
      <c r="H224">
        <v>360.94279999999998</v>
      </c>
    </row>
    <row r="225" spans="1:8" x14ac:dyDescent="0.3">
      <c r="A225">
        <v>383</v>
      </c>
      <c r="B225" t="s">
        <v>378</v>
      </c>
      <c r="C225" t="s">
        <v>149</v>
      </c>
      <c r="D225" t="s">
        <v>112</v>
      </c>
      <c r="E225" t="s">
        <v>113</v>
      </c>
      <c r="F225">
        <v>540.75450000000001</v>
      </c>
      <c r="G225" t="s">
        <v>371</v>
      </c>
      <c r="H225">
        <v>300.11880000000002</v>
      </c>
    </row>
    <row r="226" spans="1:8" x14ac:dyDescent="0.3">
      <c r="A226">
        <v>382</v>
      </c>
      <c r="B226" t="s">
        <v>379</v>
      </c>
      <c r="C226" t="s">
        <v>149</v>
      </c>
      <c r="D226" t="s">
        <v>112</v>
      </c>
      <c r="E226" t="s">
        <v>113</v>
      </c>
      <c r="F226">
        <v>594.83000000000004</v>
      </c>
      <c r="G226" t="s">
        <v>371</v>
      </c>
      <c r="H226">
        <v>360.94279999999998</v>
      </c>
    </row>
    <row r="227" spans="1:8" x14ac:dyDescent="0.3">
      <c r="A227">
        <v>381</v>
      </c>
      <c r="B227" t="s">
        <v>379</v>
      </c>
      <c r="C227" t="s">
        <v>149</v>
      </c>
      <c r="D227" t="s">
        <v>112</v>
      </c>
      <c r="E227" t="s">
        <v>113</v>
      </c>
      <c r="F227">
        <v>540.75450000000001</v>
      </c>
      <c r="G227" t="s">
        <v>371</v>
      </c>
      <c r="H227">
        <v>300.11880000000002</v>
      </c>
    </row>
    <row r="228" spans="1:8" x14ac:dyDescent="0.3">
      <c r="A228">
        <v>380</v>
      </c>
      <c r="B228" t="s">
        <v>380</v>
      </c>
      <c r="C228" t="s">
        <v>111</v>
      </c>
      <c r="D228" t="s">
        <v>112</v>
      </c>
      <c r="E228" t="s">
        <v>113</v>
      </c>
      <c r="F228">
        <v>594.83000000000004</v>
      </c>
      <c r="G228" t="s">
        <v>371</v>
      </c>
      <c r="H228">
        <v>360.94279999999998</v>
      </c>
    </row>
    <row r="229" spans="1:8" x14ac:dyDescent="0.3">
      <c r="A229">
        <v>379</v>
      </c>
      <c r="B229" t="s">
        <v>380</v>
      </c>
      <c r="C229" t="s">
        <v>111</v>
      </c>
      <c r="D229" t="s">
        <v>112</v>
      </c>
      <c r="E229" t="s">
        <v>113</v>
      </c>
      <c r="F229">
        <v>1301.3635999999999</v>
      </c>
      <c r="G229" t="s">
        <v>114</v>
      </c>
      <c r="H229">
        <v>722.2568</v>
      </c>
    </row>
    <row r="230" spans="1:8" x14ac:dyDescent="0.3">
      <c r="A230">
        <v>378</v>
      </c>
      <c r="B230" t="s">
        <v>381</v>
      </c>
      <c r="C230" t="s">
        <v>111</v>
      </c>
      <c r="D230" t="s">
        <v>112</v>
      </c>
      <c r="E230" t="s">
        <v>113</v>
      </c>
      <c r="F230">
        <v>1431.5</v>
      </c>
      <c r="G230" t="s">
        <v>114</v>
      </c>
      <c r="H230">
        <v>868.63419999999996</v>
      </c>
    </row>
    <row r="231" spans="1:8" x14ac:dyDescent="0.3">
      <c r="A231">
        <v>377</v>
      </c>
      <c r="B231" t="s">
        <v>381</v>
      </c>
      <c r="C231" t="s">
        <v>111</v>
      </c>
      <c r="D231" t="s">
        <v>112</v>
      </c>
      <c r="E231" t="s">
        <v>113</v>
      </c>
      <c r="F231">
        <v>1301.3635999999999</v>
      </c>
      <c r="G231" t="s">
        <v>114</v>
      </c>
      <c r="H231">
        <v>722.2568</v>
      </c>
    </row>
    <row r="232" spans="1:8" x14ac:dyDescent="0.3">
      <c r="A232">
        <v>376</v>
      </c>
      <c r="B232" t="s">
        <v>382</v>
      </c>
      <c r="C232" t="s">
        <v>111</v>
      </c>
      <c r="D232" t="s">
        <v>112</v>
      </c>
      <c r="E232" t="s">
        <v>113</v>
      </c>
      <c r="F232">
        <v>1431.5</v>
      </c>
      <c r="G232" t="s">
        <v>114</v>
      </c>
      <c r="H232">
        <v>868.63419999999996</v>
      </c>
    </row>
    <row r="233" spans="1:8" x14ac:dyDescent="0.3">
      <c r="A233">
        <v>375</v>
      </c>
      <c r="B233" t="s">
        <v>382</v>
      </c>
      <c r="C233" t="s">
        <v>111</v>
      </c>
      <c r="D233" t="s">
        <v>112</v>
      </c>
      <c r="E233" t="s">
        <v>113</v>
      </c>
      <c r="F233">
        <v>1301.3635999999999</v>
      </c>
      <c r="G233" t="s">
        <v>114</v>
      </c>
      <c r="H233">
        <v>722.2568</v>
      </c>
    </row>
    <row r="234" spans="1:8" x14ac:dyDescent="0.3">
      <c r="A234">
        <v>374</v>
      </c>
      <c r="B234" t="s">
        <v>383</v>
      </c>
      <c r="C234" t="s">
        <v>111</v>
      </c>
      <c r="D234" t="s">
        <v>112</v>
      </c>
      <c r="E234" t="s">
        <v>113</v>
      </c>
      <c r="F234">
        <v>1431.5</v>
      </c>
      <c r="G234" t="s">
        <v>114</v>
      </c>
      <c r="H234">
        <v>868.63419999999996</v>
      </c>
    </row>
    <row r="235" spans="1:8" x14ac:dyDescent="0.3">
      <c r="A235">
        <v>373</v>
      </c>
      <c r="B235" t="s">
        <v>383</v>
      </c>
      <c r="C235" t="s">
        <v>111</v>
      </c>
      <c r="D235" t="s">
        <v>112</v>
      </c>
      <c r="E235" t="s">
        <v>113</v>
      </c>
      <c r="F235">
        <v>1301.3635999999999</v>
      </c>
      <c r="G235" t="s">
        <v>114</v>
      </c>
      <c r="H235">
        <v>722.2568</v>
      </c>
    </row>
    <row r="236" spans="1:8" x14ac:dyDescent="0.3">
      <c r="A236">
        <v>372</v>
      </c>
      <c r="B236" t="s">
        <v>384</v>
      </c>
      <c r="C236" t="s">
        <v>385</v>
      </c>
      <c r="D236" t="s">
        <v>112</v>
      </c>
      <c r="E236" t="s">
        <v>113</v>
      </c>
      <c r="F236">
        <v>1431.5</v>
      </c>
      <c r="G236" t="s">
        <v>114</v>
      </c>
      <c r="H236">
        <v>868.63419999999996</v>
      </c>
    </row>
    <row r="237" spans="1:8" x14ac:dyDescent="0.3">
      <c r="A237">
        <v>371</v>
      </c>
      <c r="B237" t="s">
        <v>384</v>
      </c>
      <c r="C237" t="s">
        <v>385</v>
      </c>
      <c r="D237" t="s">
        <v>112</v>
      </c>
      <c r="E237" t="s">
        <v>113</v>
      </c>
      <c r="F237">
        <v>59.99</v>
      </c>
      <c r="G237" t="s">
        <v>386</v>
      </c>
      <c r="H237">
        <v>24.745899999999999</v>
      </c>
    </row>
    <row r="238" spans="1:8" x14ac:dyDescent="0.3">
      <c r="A238">
        <v>370</v>
      </c>
      <c r="B238" t="s">
        <v>387</v>
      </c>
      <c r="C238" t="s">
        <v>385</v>
      </c>
      <c r="D238" t="s">
        <v>112</v>
      </c>
      <c r="E238" t="s">
        <v>113</v>
      </c>
      <c r="F238">
        <v>125</v>
      </c>
      <c r="G238" t="s">
        <v>388</v>
      </c>
      <c r="H238">
        <v>51.5625</v>
      </c>
    </row>
    <row r="239" spans="1:8" x14ac:dyDescent="0.3">
      <c r="A239">
        <v>369</v>
      </c>
      <c r="B239" t="s">
        <v>389</v>
      </c>
      <c r="C239" t="s">
        <v>385</v>
      </c>
      <c r="D239" t="s">
        <v>112</v>
      </c>
      <c r="E239" t="s">
        <v>113</v>
      </c>
      <c r="F239">
        <v>25</v>
      </c>
      <c r="G239" t="s">
        <v>322</v>
      </c>
      <c r="H239">
        <v>10.3125</v>
      </c>
    </row>
    <row r="240" spans="1:8" x14ac:dyDescent="0.3">
      <c r="A240">
        <v>368</v>
      </c>
      <c r="B240" t="s">
        <v>390</v>
      </c>
      <c r="C240" t="s">
        <v>385</v>
      </c>
      <c r="D240" t="s">
        <v>112</v>
      </c>
      <c r="E240" t="s">
        <v>113</v>
      </c>
      <c r="F240">
        <v>19.989999999999998</v>
      </c>
      <c r="G240" t="s">
        <v>320</v>
      </c>
      <c r="H240">
        <v>8.2459000000000007</v>
      </c>
    </row>
    <row r="241" spans="1:8" x14ac:dyDescent="0.3">
      <c r="A241">
        <v>367</v>
      </c>
      <c r="B241" t="s">
        <v>391</v>
      </c>
      <c r="C241" t="s">
        <v>111</v>
      </c>
      <c r="D241" t="s">
        <v>112</v>
      </c>
      <c r="E241" t="s">
        <v>125</v>
      </c>
      <c r="F241">
        <v>24.99</v>
      </c>
      <c r="G241" t="s">
        <v>318</v>
      </c>
      <c r="H241">
        <v>10.308400000000001</v>
      </c>
    </row>
    <row r="242" spans="1:8" x14ac:dyDescent="0.3">
      <c r="A242">
        <v>366</v>
      </c>
      <c r="B242" t="s">
        <v>392</v>
      </c>
      <c r="C242" t="s">
        <v>111</v>
      </c>
      <c r="D242" t="s">
        <v>112</v>
      </c>
      <c r="E242" t="s">
        <v>125</v>
      </c>
      <c r="F242">
        <v>13.99</v>
      </c>
      <c r="G242" t="s">
        <v>393</v>
      </c>
      <c r="H242">
        <v>5.7709000000000001</v>
      </c>
    </row>
    <row r="243" spans="1:8" x14ac:dyDescent="0.3">
      <c r="A243">
        <v>365</v>
      </c>
      <c r="B243" t="s">
        <v>394</v>
      </c>
      <c r="C243" t="s">
        <v>111</v>
      </c>
      <c r="D243" t="s">
        <v>112</v>
      </c>
      <c r="E243" t="s">
        <v>125</v>
      </c>
      <c r="F243">
        <v>34.99</v>
      </c>
      <c r="G243" t="s">
        <v>316</v>
      </c>
      <c r="H243">
        <v>14.433400000000001</v>
      </c>
    </row>
    <row r="244" spans="1:8" x14ac:dyDescent="0.3">
      <c r="A244">
        <v>364</v>
      </c>
      <c r="B244" t="s">
        <v>395</v>
      </c>
      <c r="C244" t="s">
        <v>111</v>
      </c>
      <c r="D244" t="s">
        <v>112</v>
      </c>
      <c r="E244" t="s">
        <v>125</v>
      </c>
      <c r="F244">
        <v>44.99</v>
      </c>
      <c r="G244" t="s">
        <v>313</v>
      </c>
      <c r="H244">
        <v>18.558399999999999</v>
      </c>
    </row>
    <row r="245" spans="1:8" x14ac:dyDescent="0.3">
      <c r="A245">
        <v>363</v>
      </c>
      <c r="B245" t="s">
        <v>396</v>
      </c>
      <c r="C245" t="s">
        <v>111</v>
      </c>
      <c r="D245" t="s">
        <v>112</v>
      </c>
      <c r="E245" t="s">
        <v>125</v>
      </c>
      <c r="F245">
        <v>59.99</v>
      </c>
      <c r="G245" t="s">
        <v>386</v>
      </c>
      <c r="H245">
        <v>24.745899999999999</v>
      </c>
    </row>
    <row r="246" spans="1:8" x14ac:dyDescent="0.3">
      <c r="A246">
        <v>362</v>
      </c>
      <c r="B246" t="s">
        <v>396</v>
      </c>
      <c r="C246" t="s">
        <v>111</v>
      </c>
      <c r="D246" t="s">
        <v>112</v>
      </c>
      <c r="E246" t="s">
        <v>125</v>
      </c>
      <c r="F246">
        <v>59.99</v>
      </c>
      <c r="G246" t="s">
        <v>386</v>
      </c>
      <c r="H246">
        <v>24.745899999999999</v>
      </c>
    </row>
    <row r="247" spans="1:8" x14ac:dyDescent="0.3">
      <c r="A247">
        <v>361</v>
      </c>
      <c r="B247" t="s">
        <v>397</v>
      </c>
      <c r="C247" t="s">
        <v>111</v>
      </c>
      <c r="D247" t="s">
        <v>112</v>
      </c>
      <c r="E247" t="s">
        <v>125</v>
      </c>
      <c r="F247">
        <v>59.99</v>
      </c>
      <c r="G247" t="s">
        <v>386</v>
      </c>
      <c r="H247">
        <v>24.745899999999999</v>
      </c>
    </row>
    <row r="248" spans="1:8" x14ac:dyDescent="0.3">
      <c r="A248">
        <v>360</v>
      </c>
      <c r="B248" t="s">
        <v>397</v>
      </c>
      <c r="C248" t="s">
        <v>111</v>
      </c>
      <c r="D248" t="s">
        <v>112</v>
      </c>
      <c r="E248" t="s">
        <v>125</v>
      </c>
      <c r="F248">
        <v>74.989999999999995</v>
      </c>
      <c r="G248" t="s">
        <v>398</v>
      </c>
      <c r="H248">
        <v>30.933399999999999</v>
      </c>
    </row>
    <row r="249" spans="1:8" x14ac:dyDescent="0.3">
      <c r="A249">
        <v>359</v>
      </c>
      <c r="B249" t="s">
        <v>399</v>
      </c>
      <c r="C249" t="s">
        <v>111</v>
      </c>
      <c r="D249" t="s">
        <v>112</v>
      </c>
      <c r="E249" t="s">
        <v>125</v>
      </c>
      <c r="F249">
        <v>74.989999999999995</v>
      </c>
      <c r="G249" t="s">
        <v>398</v>
      </c>
      <c r="H249">
        <v>30.933399999999999</v>
      </c>
    </row>
    <row r="250" spans="1:8" x14ac:dyDescent="0.3">
      <c r="A250">
        <v>358</v>
      </c>
      <c r="B250" t="s">
        <v>399</v>
      </c>
      <c r="C250" t="s">
        <v>111</v>
      </c>
      <c r="D250" t="s">
        <v>112</v>
      </c>
      <c r="E250" t="s">
        <v>125</v>
      </c>
      <c r="F250">
        <v>74.989999999999995</v>
      </c>
      <c r="G250" t="s">
        <v>398</v>
      </c>
      <c r="H250">
        <v>30.933399999999999</v>
      </c>
    </row>
    <row r="251" spans="1:8" x14ac:dyDescent="0.3">
      <c r="A251">
        <v>357</v>
      </c>
      <c r="B251" t="s">
        <v>400</v>
      </c>
      <c r="C251" t="s">
        <v>132</v>
      </c>
      <c r="D251" t="s">
        <v>112</v>
      </c>
      <c r="E251" t="s">
        <v>125</v>
      </c>
      <c r="F251">
        <v>89.99</v>
      </c>
      <c r="G251" t="s">
        <v>401</v>
      </c>
      <c r="H251">
        <v>37.120899999999999</v>
      </c>
    </row>
    <row r="252" spans="1:8" x14ac:dyDescent="0.3">
      <c r="A252">
        <v>356</v>
      </c>
      <c r="B252" t="s">
        <v>400</v>
      </c>
      <c r="C252" t="s">
        <v>132</v>
      </c>
      <c r="D252" t="s">
        <v>112</v>
      </c>
      <c r="E252" t="s">
        <v>125</v>
      </c>
      <c r="F252">
        <v>89.99</v>
      </c>
      <c r="G252" t="s">
        <v>401</v>
      </c>
      <c r="H252">
        <v>37.120899999999999</v>
      </c>
    </row>
    <row r="253" spans="1:8" x14ac:dyDescent="0.3">
      <c r="A253">
        <v>355</v>
      </c>
      <c r="B253" t="s">
        <v>402</v>
      </c>
      <c r="C253" t="s">
        <v>132</v>
      </c>
      <c r="D253" t="s">
        <v>112</v>
      </c>
      <c r="E253" t="s">
        <v>125</v>
      </c>
      <c r="F253">
        <v>89.99</v>
      </c>
      <c r="G253" t="s">
        <v>401</v>
      </c>
      <c r="H253">
        <v>37.120899999999999</v>
      </c>
    </row>
    <row r="254" spans="1:8" x14ac:dyDescent="0.3">
      <c r="A254">
        <v>354</v>
      </c>
      <c r="B254" t="s">
        <v>402</v>
      </c>
      <c r="C254" t="s">
        <v>132</v>
      </c>
      <c r="D254" t="s">
        <v>112</v>
      </c>
      <c r="E254" t="s">
        <v>125</v>
      </c>
      <c r="F254">
        <v>23.548100000000002</v>
      </c>
      <c r="G254" t="s">
        <v>403</v>
      </c>
      <c r="H254">
        <v>9.7135999999999996</v>
      </c>
    </row>
    <row r="255" spans="1:8" x14ac:dyDescent="0.3">
      <c r="A255">
        <v>353</v>
      </c>
      <c r="B255" t="s">
        <v>404</v>
      </c>
      <c r="C255" t="s">
        <v>132</v>
      </c>
      <c r="D255" t="s">
        <v>112</v>
      </c>
      <c r="E255" t="s">
        <v>125</v>
      </c>
      <c r="F255">
        <v>24.49</v>
      </c>
      <c r="G255" t="s">
        <v>403</v>
      </c>
      <c r="H255">
        <v>9.1593</v>
      </c>
    </row>
    <row r="256" spans="1:8" x14ac:dyDescent="0.3">
      <c r="A256">
        <v>352</v>
      </c>
      <c r="B256" t="s">
        <v>404</v>
      </c>
      <c r="C256" t="s">
        <v>132</v>
      </c>
      <c r="D256" t="s">
        <v>112</v>
      </c>
      <c r="E256" t="s">
        <v>125</v>
      </c>
      <c r="F256">
        <v>23.548100000000002</v>
      </c>
      <c r="G256" t="s">
        <v>403</v>
      </c>
      <c r="H256">
        <v>9.7135999999999996</v>
      </c>
    </row>
    <row r="257" spans="1:8" x14ac:dyDescent="0.3">
      <c r="A257">
        <v>351</v>
      </c>
      <c r="B257" t="s">
        <v>405</v>
      </c>
      <c r="C257" t="s">
        <v>111</v>
      </c>
      <c r="D257" t="s">
        <v>112</v>
      </c>
      <c r="E257" t="s">
        <v>125</v>
      </c>
      <c r="F257">
        <v>24.49</v>
      </c>
      <c r="G257" t="s">
        <v>403</v>
      </c>
      <c r="H257">
        <v>9.1593</v>
      </c>
    </row>
    <row r="258" spans="1:8" x14ac:dyDescent="0.3">
      <c r="A258">
        <v>350</v>
      </c>
      <c r="B258" t="s">
        <v>406</v>
      </c>
      <c r="C258" t="s">
        <v>111</v>
      </c>
      <c r="D258" t="s">
        <v>112</v>
      </c>
      <c r="E258" t="s">
        <v>125</v>
      </c>
      <c r="F258">
        <v>23.548100000000002</v>
      </c>
      <c r="G258" t="s">
        <v>403</v>
      </c>
      <c r="H258">
        <v>9.7135999999999996</v>
      </c>
    </row>
    <row r="259" spans="1:8" x14ac:dyDescent="0.3">
      <c r="A259">
        <v>349</v>
      </c>
      <c r="B259" t="s">
        <v>407</v>
      </c>
      <c r="C259" t="s">
        <v>111</v>
      </c>
      <c r="D259" t="s">
        <v>112</v>
      </c>
      <c r="E259" t="s">
        <v>125</v>
      </c>
      <c r="F259">
        <v>24.49</v>
      </c>
      <c r="G259" t="s">
        <v>403</v>
      </c>
      <c r="H259">
        <v>9.1593</v>
      </c>
    </row>
    <row r="260" spans="1:8" x14ac:dyDescent="0.3">
      <c r="A260">
        <v>348</v>
      </c>
      <c r="B260" t="s">
        <v>408</v>
      </c>
      <c r="C260" t="s">
        <v>111</v>
      </c>
      <c r="D260" t="s">
        <v>112</v>
      </c>
      <c r="E260" t="s">
        <v>125</v>
      </c>
      <c r="F260">
        <v>37.99</v>
      </c>
      <c r="G260" t="s">
        <v>409</v>
      </c>
      <c r="H260">
        <v>15.6709</v>
      </c>
    </row>
    <row r="261" spans="1:8" x14ac:dyDescent="0.3">
      <c r="A261">
        <v>347</v>
      </c>
      <c r="B261" t="s">
        <v>410</v>
      </c>
      <c r="C261" t="s">
        <v>132</v>
      </c>
      <c r="D261" t="s">
        <v>112</v>
      </c>
      <c r="E261" t="s">
        <v>125</v>
      </c>
      <c r="F261">
        <v>37.99</v>
      </c>
      <c r="G261" t="s">
        <v>409</v>
      </c>
      <c r="H261">
        <v>15.6709</v>
      </c>
    </row>
    <row r="262" spans="1:8" x14ac:dyDescent="0.3">
      <c r="A262">
        <v>346</v>
      </c>
      <c r="B262" t="s">
        <v>411</v>
      </c>
      <c r="C262" t="s">
        <v>132</v>
      </c>
      <c r="D262" t="s">
        <v>112</v>
      </c>
      <c r="E262" t="s">
        <v>125</v>
      </c>
      <c r="F262">
        <v>37.99</v>
      </c>
      <c r="G262" t="s">
        <v>409</v>
      </c>
      <c r="H262">
        <v>15.6709</v>
      </c>
    </row>
    <row r="263" spans="1:8" x14ac:dyDescent="0.3">
      <c r="A263">
        <v>345</v>
      </c>
      <c r="B263" t="s">
        <v>412</v>
      </c>
      <c r="C263" t="s">
        <v>132</v>
      </c>
      <c r="D263" t="s">
        <v>112</v>
      </c>
      <c r="E263" t="s">
        <v>125</v>
      </c>
      <c r="F263">
        <v>63.5</v>
      </c>
      <c r="G263" t="s">
        <v>413</v>
      </c>
      <c r="H263">
        <v>23.748999999999999</v>
      </c>
    </row>
    <row r="264" spans="1:8" x14ac:dyDescent="0.3">
      <c r="A264">
        <v>344</v>
      </c>
      <c r="B264" t="s">
        <v>414</v>
      </c>
      <c r="C264" t="s">
        <v>132</v>
      </c>
      <c r="D264" t="s">
        <v>112</v>
      </c>
      <c r="E264" t="s">
        <v>125</v>
      </c>
      <c r="F264">
        <v>63.5</v>
      </c>
      <c r="G264" t="s">
        <v>413</v>
      </c>
      <c r="H264">
        <v>23.748999999999999</v>
      </c>
    </row>
    <row r="265" spans="1:8" x14ac:dyDescent="0.3">
      <c r="A265">
        <v>343</v>
      </c>
      <c r="B265" t="s">
        <v>415</v>
      </c>
      <c r="C265" t="s">
        <v>111</v>
      </c>
      <c r="D265" t="s">
        <v>112</v>
      </c>
      <c r="E265" t="s">
        <v>113</v>
      </c>
      <c r="F265">
        <v>63.5</v>
      </c>
      <c r="G265" t="s">
        <v>413</v>
      </c>
      <c r="H265">
        <v>23.748999999999999</v>
      </c>
    </row>
    <row r="266" spans="1:8" x14ac:dyDescent="0.3">
      <c r="A266">
        <v>342</v>
      </c>
      <c r="B266" t="s">
        <v>415</v>
      </c>
      <c r="C266" t="s">
        <v>111</v>
      </c>
      <c r="D266" t="s">
        <v>112</v>
      </c>
      <c r="E266" t="s">
        <v>113</v>
      </c>
      <c r="F266">
        <v>69.989999999999995</v>
      </c>
      <c r="G266" t="s">
        <v>416</v>
      </c>
      <c r="H266">
        <v>26.176300000000001</v>
      </c>
    </row>
    <row r="267" spans="1:8" x14ac:dyDescent="0.3">
      <c r="A267">
        <v>341</v>
      </c>
      <c r="B267" t="s">
        <v>417</v>
      </c>
      <c r="C267" t="s">
        <v>111</v>
      </c>
      <c r="D267" t="s">
        <v>112</v>
      </c>
      <c r="E267" t="s">
        <v>113</v>
      </c>
      <c r="F267">
        <v>69.989999999999995</v>
      </c>
      <c r="G267" t="s">
        <v>416</v>
      </c>
      <c r="H267">
        <v>26.176300000000001</v>
      </c>
    </row>
    <row r="268" spans="1:8" x14ac:dyDescent="0.3">
      <c r="A268">
        <v>340</v>
      </c>
      <c r="B268" t="s">
        <v>417</v>
      </c>
      <c r="C268" t="s">
        <v>111</v>
      </c>
      <c r="D268" t="s">
        <v>112</v>
      </c>
      <c r="E268" t="s">
        <v>113</v>
      </c>
      <c r="F268">
        <v>69.989999999999995</v>
      </c>
      <c r="G268" t="s">
        <v>416</v>
      </c>
      <c r="H268">
        <v>26.176300000000001</v>
      </c>
    </row>
    <row r="269" spans="1:8" x14ac:dyDescent="0.3">
      <c r="A269">
        <v>339</v>
      </c>
      <c r="B269" t="s">
        <v>418</v>
      </c>
      <c r="C269" t="s">
        <v>111</v>
      </c>
      <c r="D269" t="s">
        <v>112</v>
      </c>
      <c r="E269" t="s">
        <v>113</v>
      </c>
      <c r="F269">
        <v>4.99</v>
      </c>
      <c r="G269" t="s">
        <v>419</v>
      </c>
      <c r="H269">
        <v>1.8663000000000001</v>
      </c>
    </row>
    <row r="270" spans="1:8" x14ac:dyDescent="0.3">
      <c r="A270">
        <v>338</v>
      </c>
      <c r="B270" t="s">
        <v>418</v>
      </c>
      <c r="C270" t="s">
        <v>111</v>
      </c>
      <c r="D270" t="s">
        <v>112</v>
      </c>
      <c r="E270" t="s">
        <v>113</v>
      </c>
      <c r="F270">
        <v>9.99</v>
      </c>
      <c r="G270" t="s">
        <v>282</v>
      </c>
      <c r="H270">
        <v>3.7363</v>
      </c>
    </row>
    <row r="271" spans="1:8" x14ac:dyDescent="0.3">
      <c r="A271">
        <v>337</v>
      </c>
      <c r="B271" t="s">
        <v>420</v>
      </c>
      <c r="C271" t="s">
        <v>111</v>
      </c>
      <c r="D271" t="s">
        <v>112</v>
      </c>
      <c r="E271" t="s">
        <v>113</v>
      </c>
      <c r="F271">
        <v>8.99</v>
      </c>
      <c r="G271" t="s">
        <v>280</v>
      </c>
      <c r="H271">
        <v>3.3622999999999998</v>
      </c>
    </row>
    <row r="272" spans="1:8" x14ac:dyDescent="0.3">
      <c r="A272">
        <v>336</v>
      </c>
      <c r="B272" t="s">
        <v>420</v>
      </c>
      <c r="C272" t="s">
        <v>111</v>
      </c>
      <c r="D272" t="s">
        <v>112</v>
      </c>
      <c r="E272" t="s">
        <v>113</v>
      </c>
      <c r="F272">
        <v>2.29</v>
      </c>
      <c r="G272" t="s">
        <v>421</v>
      </c>
      <c r="H272">
        <v>0.85650000000000004</v>
      </c>
    </row>
    <row r="273" spans="1:8" x14ac:dyDescent="0.3">
      <c r="A273">
        <v>335</v>
      </c>
      <c r="B273" t="s">
        <v>422</v>
      </c>
      <c r="C273" t="s">
        <v>111</v>
      </c>
      <c r="D273" t="s">
        <v>112</v>
      </c>
      <c r="E273" t="s">
        <v>113</v>
      </c>
      <c r="F273">
        <v>8.99</v>
      </c>
      <c r="G273" t="s">
        <v>423</v>
      </c>
      <c r="H273">
        <v>3.3622999999999998</v>
      </c>
    </row>
    <row r="274" spans="1:8" x14ac:dyDescent="0.3">
      <c r="A274">
        <v>334</v>
      </c>
      <c r="B274" t="s">
        <v>422</v>
      </c>
      <c r="C274" t="s">
        <v>111</v>
      </c>
      <c r="D274" t="s">
        <v>112</v>
      </c>
      <c r="E274" t="s">
        <v>113</v>
      </c>
      <c r="F274">
        <v>8.99</v>
      </c>
      <c r="G274" t="s">
        <v>423</v>
      </c>
      <c r="H274">
        <v>3.3622999999999998</v>
      </c>
    </row>
    <row r="275" spans="1:8" x14ac:dyDescent="0.3">
      <c r="A275">
        <v>333</v>
      </c>
      <c r="B275" t="s">
        <v>424</v>
      </c>
      <c r="C275" t="s">
        <v>111</v>
      </c>
      <c r="D275" t="s">
        <v>112</v>
      </c>
      <c r="E275" t="s">
        <v>113</v>
      </c>
      <c r="F275">
        <v>120</v>
      </c>
      <c r="G275" t="s">
        <v>273</v>
      </c>
      <c r="H275">
        <v>44.88</v>
      </c>
    </row>
    <row r="276" spans="1:8" x14ac:dyDescent="0.3">
      <c r="A276">
        <v>332</v>
      </c>
      <c r="B276" t="s">
        <v>424</v>
      </c>
      <c r="C276" t="s">
        <v>111</v>
      </c>
      <c r="D276" t="s">
        <v>112</v>
      </c>
      <c r="E276" t="s">
        <v>113</v>
      </c>
      <c r="F276">
        <v>7.95</v>
      </c>
      <c r="G276" t="s">
        <v>425</v>
      </c>
      <c r="H276">
        <v>2.9733000000000001</v>
      </c>
    </row>
    <row r="277" spans="1:8" x14ac:dyDescent="0.3">
      <c r="A277">
        <v>331</v>
      </c>
      <c r="B277" t="s">
        <v>426</v>
      </c>
      <c r="C277" t="s">
        <v>385</v>
      </c>
      <c r="D277" t="s">
        <v>112</v>
      </c>
      <c r="E277" t="s">
        <v>113</v>
      </c>
      <c r="F277">
        <v>21.98</v>
      </c>
      <c r="G277" t="s">
        <v>269</v>
      </c>
      <c r="H277">
        <v>8.2204999999999995</v>
      </c>
    </row>
    <row r="278" spans="1:8" x14ac:dyDescent="0.3">
      <c r="A278">
        <v>330</v>
      </c>
      <c r="B278" t="s">
        <v>426</v>
      </c>
      <c r="C278" t="s">
        <v>385</v>
      </c>
      <c r="D278" t="s">
        <v>112</v>
      </c>
      <c r="E278" t="s">
        <v>113</v>
      </c>
      <c r="F278">
        <v>159</v>
      </c>
      <c r="G278" t="s">
        <v>267</v>
      </c>
      <c r="H278">
        <v>59.466000000000001</v>
      </c>
    </row>
    <row r="279" spans="1:8" x14ac:dyDescent="0.3">
      <c r="A279">
        <v>329</v>
      </c>
      <c r="B279" t="s">
        <v>427</v>
      </c>
      <c r="C279" t="s">
        <v>385</v>
      </c>
      <c r="D279" t="s">
        <v>112</v>
      </c>
      <c r="E279" t="s">
        <v>113</v>
      </c>
      <c r="F279">
        <v>54.99</v>
      </c>
      <c r="G279" t="s">
        <v>428</v>
      </c>
      <c r="H279">
        <v>20.566299999999998</v>
      </c>
    </row>
    <row r="280" spans="1:8" x14ac:dyDescent="0.3">
      <c r="A280">
        <v>328</v>
      </c>
      <c r="B280" t="s">
        <v>427</v>
      </c>
      <c r="C280" t="s">
        <v>385</v>
      </c>
      <c r="D280" t="s">
        <v>112</v>
      </c>
      <c r="E280" t="s">
        <v>113</v>
      </c>
      <c r="F280">
        <v>53.99</v>
      </c>
      <c r="G280" t="s">
        <v>429</v>
      </c>
      <c r="H280">
        <v>41.572299999999998</v>
      </c>
    </row>
    <row r="281" spans="1:8" x14ac:dyDescent="0.3">
      <c r="A281">
        <v>327</v>
      </c>
      <c r="B281" t="s">
        <v>430</v>
      </c>
      <c r="C281" t="s">
        <v>385</v>
      </c>
      <c r="D281" t="s">
        <v>112</v>
      </c>
      <c r="E281" t="s">
        <v>113</v>
      </c>
      <c r="F281">
        <v>53.99</v>
      </c>
      <c r="G281" t="s">
        <v>429</v>
      </c>
      <c r="H281">
        <v>41.572299999999998</v>
      </c>
    </row>
    <row r="282" spans="1:8" x14ac:dyDescent="0.3">
      <c r="A282">
        <v>326</v>
      </c>
      <c r="B282" t="s">
        <v>430</v>
      </c>
      <c r="C282" t="s">
        <v>385</v>
      </c>
      <c r="D282" t="s">
        <v>112</v>
      </c>
      <c r="E282" t="s">
        <v>113</v>
      </c>
      <c r="F282">
        <v>53.99</v>
      </c>
      <c r="G282" t="s">
        <v>429</v>
      </c>
      <c r="H282">
        <v>41.572299999999998</v>
      </c>
    </row>
    <row r="283" spans="1:8" x14ac:dyDescent="0.3">
      <c r="A283">
        <v>325</v>
      </c>
      <c r="B283" t="s">
        <v>431</v>
      </c>
      <c r="C283" t="s">
        <v>385</v>
      </c>
      <c r="D283" t="s">
        <v>112</v>
      </c>
      <c r="E283" t="s">
        <v>113</v>
      </c>
      <c r="F283">
        <v>53.99</v>
      </c>
      <c r="G283" t="s">
        <v>429</v>
      </c>
      <c r="H283">
        <v>41.572299999999998</v>
      </c>
    </row>
    <row r="284" spans="1:8" x14ac:dyDescent="0.3">
      <c r="A284">
        <v>324</v>
      </c>
      <c r="B284" t="s">
        <v>431</v>
      </c>
      <c r="C284" t="s">
        <v>385</v>
      </c>
      <c r="D284" t="s">
        <v>112</v>
      </c>
      <c r="E284" t="s">
        <v>113</v>
      </c>
      <c r="F284">
        <v>1003.91</v>
      </c>
      <c r="G284" t="s">
        <v>432</v>
      </c>
      <c r="H284">
        <v>601.74369999999999</v>
      </c>
    </row>
    <row r="285" spans="1:8" x14ac:dyDescent="0.3">
      <c r="A285">
        <v>323</v>
      </c>
      <c r="B285" t="s">
        <v>433</v>
      </c>
      <c r="C285" t="s">
        <v>385</v>
      </c>
      <c r="D285" t="s">
        <v>112</v>
      </c>
      <c r="E285" t="s">
        <v>113</v>
      </c>
      <c r="F285">
        <v>333.42</v>
      </c>
      <c r="G285" t="s">
        <v>434</v>
      </c>
      <c r="H285">
        <v>199.8519</v>
      </c>
    </row>
    <row r="286" spans="1:8" x14ac:dyDescent="0.3">
      <c r="A286">
        <v>322</v>
      </c>
      <c r="B286" t="s">
        <v>433</v>
      </c>
      <c r="C286" t="s">
        <v>385</v>
      </c>
      <c r="D286" t="s">
        <v>112</v>
      </c>
      <c r="E286" t="s">
        <v>113</v>
      </c>
      <c r="F286">
        <v>1003.91</v>
      </c>
      <c r="G286" t="s">
        <v>432</v>
      </c>
      <c r="H286">
        <v>601.74369999999999</v>
      </c>
    </row>
    <row r="287" spans="1:8" x14ac:dyDescent="0.3">
      <c r="A287">
        <v>321</v>
      </c>
      <c r="B287" t="s">
        <v>435</v>
      </c>
      <c r="C287" t="s">
        <v>385</v>
      </c>
      <c r="D287" t="s">
        <v>112</v>
      </c>
      <c r="E287" t="s">
        <v>113</v>
      </c>
      <c r="F287">
        <v>1003.91</v>
      </c>
      <c r="G287" t="s">
        <v>432</v>
      </c>
      <c r="H287">
        <v>601.74369999999999</v>
      </c>
    </row>
    <row r="288" spans="1:8" x14ac:dyDescent="0.3">
      <c r="A288">
        <v>320</v>
      </c>
      <c r="B288" t="s">
        <v>435</v>
      </c>
      <c r="C288" t="s">
        <v>385</v>
      </c>
      <c r="D288" t="s">
        <v>112</v>
      </c>
      <c r="E288" t="s">
        <v>113</v>
      </c>
      <c r="F288">
        <v>1003.91</v>
      </c>
      <c r="G288" t="s">
        <v>432</v>
      </c>
      <c r="H288">
        <v>601.74369999999999</v>
      </c>
    </row>
    <row r="289" spans="1:8" x14ac:dyDescent="0.3">
      <c r="A289">
        <v>319</v>
      </c>
      <c r="B289" t="s">
        <v>436</v>
      </c>
      <c r="C289" t="s">
        <v>385</v>
      </c>
      <c r="D289" t="s">
        <v>112</v>
      </c>
      <c r="E289" t="s">
        <v>113</v>
      </c>
      <c r="F289">
        <v>1003.91</v>
      </c>
      <c r="G289" t="s">
        <v>432</v>
      </c>
      <c r="H289">
        <v>601.74369999999999</v>
      </c>
    </row>
    <row r="290" spans="1:8" x14ac:dyDescent="0.3">
      <c r="A290">
        <v>318</v>
      </c>
      <c r="B290" t="s">
        <v>437</v>
      </c>
      <c r="C290" t="s">
        <v>385</v>
      </c>
      <c r="D290" t="s">
        <v>112</v>
      </c>
      <c r="E290" t="s">
        <v>113</v>
      </c>
      <c r="F290">
        <v>1003.91</v>
      </c>
      <c r="G290" t="s">
        <v>432</v>
      </c>
      <c r="H290">
        <v>601.74369999999999</v>
      </c>
    </row>
    <row r="291" spans="1:8" x14ac:dyDescent="0.3">
      <c r="A291">
        <v>317</v>
      </c>
      <c r="B291" t="s">
        <v>438</v>
      </c>
      <c r="C291" t="s">
        <v>385</v>
      </c>
      <c r="D291" t="s">
        <v>112</v>
      </c>
      <c r="E291" t="s">
        <v>113</v>
      </c>
      <c r="F291">
        <v>1003.91</v>
      </c>
      <c r="G291" t="s">
        <v>432</v>
      </c>
      <c r="H291">
        <v>601.74369999999999</v>
      </c>
    </row>
    <row r="292" spans="1:8" x14ac:dyDescent="0.3">
      <c r="A292">
        <v>316</v>
      </c>
      <c r="B292" t="s">
        <v>439</v>
      </c>
      <c r="C292" t="s">
        <v>385</v>
      </c>
      <c r="D292" t="s">
        <v>112</v>
      </c>
      <c r="E292" t="s">
        <v>113</v>
      </c>
      <c r="F292">
        <v>1003.91</v>
      </c>
      <c r="G292" t="s">
        <v>432</v>
      </c>
      <c r="H292">
        <v>601.74369999999999</v>
      </c>
    </row>
    <row r="293" spans="1:8" x14ac:dyDescent="0.3">
      <c r="A293">
        <v>315</v>
      </c>
      <c r="B293" t="s">
        <v>440</v>
      </c>
      <c r="C293" t="s">
        <v>385</v>
      </c>
      <c r="D293" t="s">
        <v>112</v>
      </c>
      <c r="E293" t="s">
        <v>113</v>
      </c>
      <c r="F293">
        <v>121.46</v>
      </c>
      <c r="G293" t="s">
        <v>247</v>
      </c>
      <c r="H293">
        <v>53.928199999999997</v>
      </c>
    </row>
    <row r="294" spans="1:8" x14ac:dyDescent="0.3">
      <c r="A294">
        <v>314</v>
      </c>
      <c r="B294" t="s">
        <v>441</v>
      </c>
      <c r="C294" t="s">
        <v>385</v>
      </c>
      <c r="D294" t="s">
        <v>112</v>
      </c>
      <c r="E294" t="s">
        <v>113</v>
      </c>
      <c r="F294">
        <v>333.42</v>
      </c>
      <c r="G294" t="s">
        <v>434</v>
      </c>
      <c r="H294">
        <v>199.8519</v>
      </c>
    </row>
    <row r="295" spans="1:8" x14ac:dyDescent="0.3">
      <c r="A295">
        <v>313</v>
      </c>
      <c r="B295" t="s">
        <v>442</v>
      </c>
      <c r="C295" t="s">
        <v>385</v>
      </c>
      <c r="D295" t="s">
        <v>112</v>
      </c>
      <c r="E295" t="s">
        <v>113</v>
      </c>
      <c r="F295">
        <v>333.42</v>
      </c>
      <c r="G295" t="s">
        <v>434</v>
      </c>
      <c r="H295">
        <v>199.8519</v>
      </c>
    </row>
    <row r="296" spans="1:8" x14ac:dyDescent="0.3">
      <c r="A296">
        <v>312</v>
      </c>
      <c r="B296" t="s">
        <v>443</v>
      </c>
      <c r="C296" t="s">
        <v>385</v>
      </c>
      <c r="D296" t="s">
        <v>112</v>
      </c>
      <c r="E296" t="s">
        <v>113</v>
      </c>
      <c r="F296">
        <v>333.42</v>
      </c>
      <c r="G296" t="s">
        <v>434</v>
      </c>
      <c r="H296">
        <v>199.8519</v>
      </c>
    </row>
    <row r="297" spans="1:8" x14ac:dyDescent="0.3">
      <c r="A297">
        <v>311</v>
      </c>
      <c r="B297" t="s">
        <v>444</v>
      </c>
      <c r="C297" t="s">
        <v>385</v>
      </c>
      <c r="D297" t="s">
        <v>112</v>
      </c>
      <c r="E297" t="s">
        <v>113</v>
      </c>
      <c r="F297">
        <v>333.42</v>
      </c>
      <c r="G297" t="s">
        <v>434</v>
      </c>
      <c r="H297">
        <v>199.8519</v>
      </c>
    </row>
    <row r="298" spans="1:8" x14ac:dyDescent="0.3">
      <c r="A298">
        <v>310</v>
      </c>
      <c r="B298" t="s">
        <v>445</v>
      </c>
      <c r="C298" t="s">
        <v>385</v>
      </c>
      <c r="D298" t="s">
        <v>112</v>
      </c>
      <c r="E298" t="s">
        <v>113</v>
      </c>
      <c r="F298">
        <v>333.42</v>
      </c>
      <c r="G298" t="s">
        <v>434</v>
      </c>
      <c r="H298">
        <v>199.8519</v>
      </c>
    </row>
    <row r="299" spans="1:8" x14ac:dyDescent="0.3">
      <c r="A299">
        <v>309</v>
      </c>
      <c r="B299" t="s">
        <v>446</v>
      </c>
      <c r="C299" t="s">
        <v>132</v>
      </c>
      <c r="D299" t="s">
        <v>120</v>
      </c>
      <c r="E299" t="s">
        <v>188</v>
      </c>
      <c r="F299">
        <v>333.42</v>
      </c>
      <c r="G299" t="s">
        <v>434</v>
      </c>
      <c r="H299">
        <v>199.8519</v>
      </c>
    </row>
    <row r="300" spans="1:8" x14ac:dyDescent="0.3">
      <c r="A300">
        <v>308</v>
      </c>
      <c r="B300" t="s">
        <v>446</v>
      </c>
      <c r="C300" t="s">
        <v>132</v>
      </c>
      <c r="D300" t="s">
        <v>120</v>
      </c>
      <c r="E300" t="s">
        <v>188</v>
      </c>
      <c r="F300">
        <v>333.42</v>
      </c>
      <c r="G300" t="s">
        <v>434</v>
      </c>
      <c r="H300">
        <v>199.8519</v>
      </c>
    </row>
    <row r="301" spans="1:8" x14ac:dyDescent="0.3">
      <c r="A301">
        <v>307</v>
      </c>
      <c r="B301" t="s">
        <v>446</v>
      </c>
      <c r="C301" t="s">
        <v>132</v>
      </c>
      <c r="D301" t="s">
        <v>120</v>
      </c>
      <c r="E301" t="s">
        <v>188</v>
      </c>
      <c r="F301">
        <v>333.42</v>
      </c>
      <c r="G301" t="s">
        <v>434</v>
      </c>
      <c r="H301">
        <v>199.8519</v>
      </c>
    </row>
    <row r="302" spans="1:8" x14ac:dyDescent="0.3">
      <c r="A302">
        <v>306</v>
      </c>
      <c r="B302" t="s">
        <v>447</v>
      </c>
      <c r="C302" t="s">
        <v>111</v>
      </c>
      <c r="D302" t="s">
        <v>120</v>
      </c>
      <c r="E302" t="s">
        <v>188</v>
      </c>
      <c r="F302">
        <v>333.42</v>
      </c>
      <c r="G302" t="s">
        <v>434</v>
      </c>
      <c r="H302">
        <v>199.8519</v>
      </c>
    </row>
    <row r="303" spans="1:8" x14ac:dyDescent="0.3">
      <c r="A303">
        <v>305</v>
      </c>
      <c r="B303" t="s">
        <v>447</v>
      </c>
      <c r="C303" t="s">
        <v>111</v>
      </c>
      <c r="D303" t="s">
        <v>120</v>
      </c>
      <c r="E303" t="s">
        <v>188</v>
      </c>
      <c r="F303">
        <v>364.09</v>
      </c>
      <c r="G303" t="s">
        <v>370</v>
      </c>
      <c r="H303">
        <v>199.37569999999999</v>
      </c>
    </row>
    <row r="304" spans="1:8" x14ac:dyDescent="0.3">
      <c r="A304">
        <v>304</v>
      </c>
      <c r="B304" t="s">
        <v>447</v>
      </c>
      <c r="C304" t="s">
        <v>111</v>
      </c>
      <c r="D304" t="s">
        <v>120</v>
      </c>
      <c r="E304" t="s">
        <v>188</v>
      </c>
      <c r="F304">
        <v>364.09</v>
      </c>
      <c r="G304" t="s">
        <v>370</v>
      </c>
      <c r="H304">
        <v>199.37569999999999</v>
      </c>
    </row>
    <row r="305" spans="1:8" x14ac:dyDescent="0.3">
      <c r="A305">
        <v>303</v>
      </c>
      <c r="B305" t="s">
        <v>448</v>
      </c>
      <c r="C305" t="s">
        <v>111</v>
      </c>
      <c r="D305" t="s">
        <v>120</v>
      </c>
      <c r="E305" t="s">
        <v>188</v>
      </c>
      <c r="F305">
        <v>364.09</v>
      </c>
      <c r="G305" t="s">
        <v>370</v>
      </c>
      <c r="H305">
        <v>199.37569999999999</v>
      </c>
    </row>
    <row r="306" spans="1:8" x14ac:dyDescent="0.3">
      <c r="A306">
        <v>302</v>
      </c>
      <c r="B306" t="s">
        <v>448</v>
      </c>
      <c r="C306" t="s">
        <v>111</v>
      </c>
      <c r="D306" t="s">
        <v>120</v>
      </c>
      <c r="E306" t="s">
        <v>188</v>
      </c>
      <c r="F306">
        <v>106.5</v>
      </c>
      <c r="G306" t="s">
        <v>232</v>
      </c>
      <c r="H306">
        <v>47.286000000000001</v>
      </c>
    </row>
    <row r="307" spans="1:8" x14ac:dyDescent="0.3">
      <c r="A307">
        <v>301</v>
      </c>
      <c r="B307" t="s">
        <v>448</v>
      </c>
      <c r="C307" t="s">
        <v>111</v>
      </c>
      <c r="D307" t="s">
        <v>120</v>
      </c>
      <c r="E307" t="s">
        <v>188</v>
      </c>
      <c r="F307">
        <v>27.12</v>
      </c>
      <c r="G307" t="s">
        <v>449</v>
      </c>
      <c r="H307">
        <v>12.0413</v>
      </c>
    </row>
    <row r="308" spans="1:8" x14ac:dyDescent="0.3">
      <c r="A308">
        <v>300</v>
      </c>
      <c r="B308" t="s">
        <v>450</v>
      </c>
      <c r="C308" t="s">
        <v>111</v>
      </c>
      <c r="D308" t="s">
        <v>120</v>
      </c>
      <c r="E308" t="s">
        <v>188</v>
      </c>
      <c r="F308">
        <v>39.14</v>
      </c>
      <c r="G308" t="s">
        <v>451</v>
      </c>
      <c r="H308">
        <v>17.3782</v>
      </c>
    </row>
    <row r="309" spans="1:8" x14ac:dyDescent="0.3">
      <c r="A309">
        <v>299</v>
      </c>
      <c r="B309" t="s">
        <v>452</v>
      </c>
      <c r="C309" t="s">
        <v>111</v>
      </c>
      <c r="D309" t="s">
        <v>120</v>
      </c>
      <c r="E309" t="s">
        <v>188</v>
      </c>
      <c r="F309">
        <v>52.64</v>
      </c>
      <c r="G309" t="s">
        <v>453</v>
      </c>
      <c r="H309">
        <v>23.372199999999999</v>
      </c>
    </row>
    <row r="310" spans="1:8" x14ac:dyDescent="0.3">
      <c r="A310">
        <v>298</v>
      </c>
      <c r="B310" t="s">
        <v>454</v>
      </c>
      <c r="C310" t="s">
        <v>111</v>
      </c>
      <c r="D310" t="s">
        <v>120</v>
      </c>
      <c r="E310" t="s">
        <v>188</v>
      </c>
      <c r="F310">
        <v>27.12</v>
      </c>
      <c r="G310" t="s">
        <v>455</v>
      </c>
      <c r="H310">
        <v>12.0413</v>
      </c>
    </row>
    <row r="311" spans="1:8" x14ac:dyDescent="0.3">
      <c r="A311">
        <v>297</v>
      </c>
      <c r="B311" t="s">
        <v>454</v>
      </c>
      <c r="C311" t="s">
        <v>111</v>
      </c>
      <c r="D311" t="s">
        <v>120</v>
      </c>
      <c r="E311" t="s">
        <v>188</v>
      </c>
      <c r="F311">
        <v>39.14</v>
      </c>
      <c r="G311" t="s">
        <v>456</v>
      </c>
      <c r="H311">
        <v>17.3782</v>
      </c>
    </row>
    <row r="312" spans="1:8" x14ac:dyDescent="0.3">
      <c r="A312">
        <v>296</v>
      </c>
      <c r="B312" t="s">
        <v>454</v>
      </c>
      <c r="C312" t="s">
        <v>111</v>
      </c>
      <c r="D312" t="s">
        <v>120</v>
      </c>
      <c r="E312" t="s">
        <v>188</v>
      </c>
      <c r="F312">
        <v>52.64</v>
      </c>
      <c r="G312" t="s">
        <v>457</v>
      </c>
      <c r="H312">
        <v>23.372199999999999</v>
      </c>
    </row>
    <row r="313" spans="1:8" x14ac:dyDescent="0.3">
      <c r="A313">
        <v>295</v>
      </c>
      <c r="B313" t="s">
        <v>458</v>
      </c>
      <c r="C313" t="s">
        <v>132</v>
      </c>
      <c r="D313" t="s">
        <v>120</v>
      </c>
      <c r="E313" t="s">
        <v>188</v>
      </c>
      <c r="F313">
        <v>27.12</v>
      </c>
      <c r="G313" t="s">
        <v>225</v>
      </c>
      <c r="H313">
        <v>12.0413</v>
      </c>
    </row>
    <row r="314" spans="1:8" x14ac:dyDescent="0.3">
      <c r="A314">
        <v>294</v>
      </c>
      <c r="B314" t="s">
        <v>458</v>
      </c>
      <c r="C314" t="s">
        <v>132</v>
      </c>
      <c r="D314" t="s">
        <v>120</v>
      </c>
      <c r="E314" t="s">
        <v>188</v>
      </c>
      <c r="F314">
        <v>39.14</v>
      </c>
      <c r="G314" t="s">
        <v>224</v>
      </c>
      <c r="H314">
        <v>17.3782</v>
      </c>
    </row>
    <row r="315" spans="1:8" x14ac:dyDescent="0.3">
      <c r="A315">
        <v>293</v>
      </c>
      <c r="B315" t="s">
        <v>458</v>
      </c>
      <c r="C315" t="s">
        <v>132</v>
      </c>
      <c r="D315" t="s">
        <v>120</v>
      </c>
      <c r="E315" t="s">
        <v>188</v>
      </c>
      <c r="F315">
        <v>52.64</v>
      </c>
      <c r="G315" t="s">
        <v>222</v>
      </c>
      <c r="H315">
        <v>23.372199999999999</v>
      </c>
    </row>
    <row r="316" spans="1:8" x14ac:dyDescent="0.3">
      <c r="A316">
        <v>292</v>
      </c>
      <c r="B316" t="s">
        <v>459</v>
      </c>
      <c r="C316" t="s">
        <v>132</v>
      </c>
      <c r="D316" t="s">
        <v>120</v>
      </c>
      <c r="E316" t="s">
        <v>188</v>
      </c>
      <c r="F316">
        <v>264.05</v>
      </c>
      <c r="G316" t="s">
        <v>460</v>
      </c>
      <c r="H316">
        <v>144.59379999999999</v>
      </c>
    </row>
    <row r="317" spans="1:8" x14ac:dyDescent="0.3">
      <c r="A317">
        <v>291</v>
      </c>
      <c r="B317" t="s">
        <v>461</v>
      </c>
      <c r="C317" t="s">
        <v>132</v>
      </c>
      <c r="D317" t="s">
        <v>120</v>
      </c>
      <c r="E317" t="s">
        <v>188</v>
      </c>
      <c r="F317">
        <v>264.05</v>
      </c>
      <c r="G317" t="s">
        <v>460</v>
      </c>
      <c r="H317">
        <v>144.59379999999999</v>
      </c>
    </row>
    <row r="318" spans="1:8" x14ac:dyDescent="0.3">
      <c r="A318">
        <v>290</v>
      </c>
      <c r="B318" t="s">
        <v>462</v>
      </c>
      <c r="C318" t="s">
        <v>132</v>
      </c>
      <c r="D318" t="s">
        <v>120</v>
      </c>
      <c r="E318" t="s">
        <v>188</v>
      </c>
      <c r="F318">
        <v>264.05</v>
      </c>
      <c r="G318" t="s">
        <v>460</v>
      </c>
      <c r="H318">
        <v>144.59379999999999</v>
      </c>
    </row>
    <row r="319" spans="1:8" x14ac:dyDescent="0.3">
      <c r="A319">
        <v>289</v>
      </c>
      <c r="B319" t="s">
        <v>462</v>
      </c>
      <c r="C319" t="s">
        <v>132</v>
      </c>
      <c r="D319" t="s">
        <v>120</v>
      </c>
      <c r="E319" t="s">
        <v>188</v>
      </c>
      <c r="F319">
        <v>264.05</v>
      </c>
      <c r="G319" t="s">
        <v>460</v>
      </c>
      <c r="H319">
        <v>144.59379999999999</v>
      </c>
    </row>
    <row r="320" spans="1:8" x14ac:dyDescent="0.3">
      <c r="A320">
        <v>288</v>
      </c>
      <c r="B320" t="s">
        <v>462</v>
      </c>
      <c r="C320" t="s">
        <v>132</v>
      </c>
      <c r="D320" t="s">
        <v>120</v>
      </c>
      <c r="E320" t="s">
        <v>188</v>
      </c>
      <c r="F320">
        <v>4.99</v>
      </c>
      <c r="G320" t="s">
        <v>216</v>
      </c>
      <c r="H320">
        <v>1.8663000000000001</v>
      </c>
    </row>
    <row r="321" spans="1:8" x14ac:dyDescent="0.3">
      <c r="A321">
        <v>287</v>
      </c>
      <c r="B321" t="s">
        <v>463</v>
      </c>
      <c r="C321" t="s">
        <v>111</v>
      </c>
      <c r="D321" t="s">
        <v>120</v>
      </c>
      <c r="E321" t="s">
        <v>329</v>
      </c>
      <c r="F321">
        <v>3.99</v>
      </c>
      <c r="G321" t="s">
        <v>215</v>
      </c>
      <c r="H321">
        <v>1.4923</v>
      </c>
    </row>
    <row r="322" spans="1:8" x14ac:dyDescent="0.3">
      <c r="A322">
        <v>286</v>
      </c>
      <c r="B322" t="s">
        <v>463</v>
      </c>
      <c r="C322" t="s">
        <v>111</v>
      </c>
      <c r="D322" t="s">
        <v>120</v>
      </c>
      <c r="E322" t="s">
        <v>329</v>
      </c>
      <c r="F322">
        <v>4.99</v>
      </c>
      <c r="G322" t="s">
        <v>214</v>
      </c>
      <c r="H322">
        <v>1.8663000000000001</v>
      </c>
    </row>
    <row r="323" spans="1:8" x14ac:dyDescent="0.3">
      <c r="A323">
        <v>285</v>
      </c>
      <c r="B323" t="s">
        <v>463</v>
      </c>
      <c r="C323" t="s">
        <v>111</v>
      </c>
      <c r="D323" t="s">
        <v>120</v>
      </c>
      <c r="E323" t="s">
        <v>329</v>
      </c>
      <c r="F323">
        <v>249.79</v>
      </c>
      <c r="G323" t="s">
        <v>460</v>
      </c>
      <c r="H323">
        <v>136.785</v>
      </c>
    </row>
    <row r="324" spans="1:8" x14ac:dyDescent="0.3">
      <c r="A324">
        <v>284</v>
      </c>
      <c r="B324" t="s">
        <v>464</v>
      </c>
      <c r="C324" t="s">
        <v>111</v>
      </c>
      <c r="D324" t="s">
        <v>120</v>
      </c>
      <c r="E324" t="s">
        <v>329</v>
      </c>
      <c r="F324">
        <v>249.79</v>
      </c>
      <c r="G324" t="s">
        <v>460</v>
      </c>
      <c r="H324">
        <v>136.785</v>
      </c>
    </row>
    <row r="325" spans="1:8" x14ac:dyDescent="0.3">
      <c r="A325">
        <v>283</v>
      </c>
      <c r="B325" t="s">
        <v>464</v>
      </c>
      <c r="C325" t="s">
        <v>111</v>
      </c>
      <c r="D325" t="s">
        <v>120</v>
      </c>
      <c r="E325" t="s">
        <v>329</v>
      </c>
      <c r="F325">
        <v>249.79</v>
      </c>
      <c r="G325" t="s">
        <v>460</v>
      </c>
      <c r="H325">
        <v>136.785</v>
      </c>
    </row>
    <row r="326" spans="1:8" x14ac:dyDescent="0.3">
      <c r="A326">
        <v>282</v>
      </c>
      <c r="B326" t="s">
        <v>464</v>
      </c>
      <c r="C326" t="s">
        <v>111</v>
      </c>
      <c r="D326" t="s">
        <v>120</v>
      </c>
      <c r="E326" t="s">
        <v>329</v>
      </c>
      <c r="F326">
        <v>249.79</v>
      </c>
      <c r="G326" t="s">
        <v>460</v>
      </c>
      <c r="H326">
        <v>136.785</v>
      </c>
    </row>
    <row r="327" spans="1:8" x14ac:dyDescent="0.3">
      <c r="A327">
        <v>281</v>
      </c>
      <c r="B327" t="s">
        <v>465</v>
      </c>
      <c r="C327" t="s">
        <v>111</v>
      </c>
      <c r="D327" t="s">
        <v>120</v>
      </c>
      <c r="E327" t="s">
        <v>329</v>
      </c>
      <c r="F327">
        <v>24.99</v>
      </c>
      <c r="G327" t="s">
        <v>209</v>
      </c>
      <c r="H327">
        <v>9.3462999999999994</v>
      </c>
    </row>
    <row r="328" spans="1:8" x14ac:dyDescent="0.3">
      <c r="A328">
        <v>280</v>
      </c>
      <c r="B328" t="s">
        <v>465</v>
      </c>
      <c r="C328" t="s">
        <v>111</v>
      </c>
      <c r="D328" t="s">
        <v>120</v>
      </c>
      <c r="E328" t="s">
        <v>329</v>
      </c>
      <c r="F328">
        <v>29.99</v>
      </c>
      <c r="G328" t="s">
        <v>208</v>
      </c>
      <c r="H328">
        <v>11.2163</v>
      </c>
    </row>
    <row r="329" spans="1:8" x14ac:dyDescent="0.3">
      <c r="A329">
        <v>279</v>
      </c>
      <c r="B329" t="s">
        <v>465</v>
      </c>
      <c r="C329" t="s">
        <v>111</v>
      </c>
      <c r="D329" t="s">
        <v>120</v>
      </c>
      <c r="E329" t="s">
        <v>329</v>
      </c>
      <c r="F329">
        <v>35</v>
      </c>
      <c r="G329" t="s">
        <v>207</v>
      </c>
      <c r="H329">
        <v>13.09</v>
      </c>
    </row>
    <row r="330" spans="1:8" x14ac:dyDescent="0.3">
      <c r="A330">
        <v>278</v>
      </c>
      <c r="B330" t="s">
        <v>466</v>
      </c>
      <c r="C330" t="s">
        <v>385</v>
      </c>
      <c r="D330" t="s">
        <v>120</v>
      </c>
      <c r="E330" t="s">
        <v>329</v>
      </c>
      <c r="F330">
        <v>21.49</v>
      </c>
      <c r="G330" t="s">
        <v>206</v>
      </c>
      <c r="H330">
        <v>8.0373000000000001</v>
      </c>
    </row>
    <row r="331" spans="1:8" x14ac:dyDescent="0.3">
      <c r="A331">
        <v>277</v>
      </c>
      <c r="B331" t="s">
        <v>467</v>
      </c>
      <c r="C331" t="s">
        <v>385</v>
      </c>
      <c r="D331" t="s">
        <v>120</v>
      </c>
      <c r="E331" t="s">
        <v>329</v>
      </c>
      <c r="F331">
        <v>24.99</v>
      </c>
      <c r="G331" t="s">
        <v>205</v>
      </c>
      <c r="H331">
        <v>9.3462999999999994</v>
      </c>
    </row>
    <row r="332" spans="1:8" x14ac:dyDescent="0.3">
      <c r="A332">
        <v>276</v>
      </c>
      <c r="B332" t="s">
        <v>468</v>
      </c>
      <c r="C332" t="s">
        <v>385</v>
      </c>
      <c r="D332" t="s">
        <v>120</v>
      </c>
      <c r="E332" t="s">
        <v>329</v>
      </c>
      <c r="F332">
        <v>32.6</v>
      </c>
      <c r="G332" t="s">
        <v>204</v>
      </c>
      <c r="H332">
        <v>12.192399999999999</v>
      </c>
    </row>
    <row r="333" spans="1:8" x14ac:dyDescent="0.3">
      <c r="A333">
        <v>275</v>
      </c>
      <c r="B333" t="s">
        <v>469</v>
      </c>
      <c r="C333" t="s">
        <v>385</v>
      </c>
      <c r="D333" t="s">
        <v>120</v>
      </c>
      <c r="E333" t="s">
        <v>329</v>
      </c>
      <c r="F333">
        <v>28.99</v>
      </c>
      <c r="G333" t="s">
        <v>201</v>
      </c>
      <c r="H333">
        <v>10.8423</v>
      </c>
    </row>
    <row r="334" spans="1:8" x14ac:dyDescent="0.3">
      <c r="A334">
        <v>274</v>
      </c>
      <c r="B334" t="s">
        <v>470</v>
      </c>
      <c r="C334" t="s">
        <v>385</v>
      </c>
      <c r="D334" t="s">
        <v>120</v>
      </c>
      <c r="E334" t="s">
        <v>329</v>
      </c>
      <c r="F334">
        <v>40.49</v>
      </c>
      <c r="G334" t="s">
        <v>199</v>
      </c>
      <c r="H334">
        <v>17.977599999999999</v>
      </c>
    </row>
    <row r="335" spans="1:8" x14ac:dyDescent="0.3">
      <c r="A335">
        <v>273</v>
      </c>
      <c r="B335" t="s">
        <v>471</v>
      </c>
      <c r="C335" t="s">
        <v>385</v>
      </c>
      <c r="D335" t="s">
        <v>120</v>
      </c>
      <c r="E335" t="s">
        <v>329</v>
      </c>
      <c r="F335">
        <v>62.09</v>
      </c>
      <c r="G335" t="s">
        <v>198</v>
      </c>
      <c r="H335">
        <v>27.568000000000001</v>
      </c>
    </row>
    <row r="336" spans="1:8" x14ac:dyDescent="0.3">
      <c r="A336">
        <v>272</v>
      </c>
      <c r="B336" t="s">
        <v>471</v>
      </c>
      <c r="C336" t="s">
        <v>385</v>
      </c>
      <c r="D336" t="s">
        <v>120</v>
      </c>
      <c r="E336" t="s">
        <v>329</v>
      </c>
      <c r="F336">
        <v>80.989999999999995</v>
      </c>
      <c r="G336" t="s">
        <v>197</v>
      </c>
      <c r="H336">
        <v>35.959600000000002</v>
      </c>
    </row>
    <row r="337" spans="1:8" x14ac:dyDescent="0.3">
      <c r="A337">
        <v>271</v>
      </c>
      <c r="B337" t="s">
        <v>472</v>
      </c>
      <c r="C337" t="s">
        <v>385</v>
      </c>
      <c r="D337" t="s">
        <v>120</v>
      </c>
      <c r="E337" t="s">
        <v>329</v>
      </c>
      <c r="F337">
        <v>40.49</v>
      </c>
      <c r="G337" t="s">
        <v>196</v>
      </c>
      <c r="H337">
        <v>17.977599999999999</v>
      </c>
    </row>
    <row r="338" spans="1:8" x14ac:dyDescent="0.3">
      <c r="A338">
        <v>270</v>
      </c>
      <c r="B338" t="s">
        <v>472</v>
      </c>
      <c r="C338" t="s">
        <v>385</v>
      </c>
      <c r="D338" t="s">
        <v>120</v>
      </c>
      <c r="E338" t="s">
        <v>329</v>
      </c>
      <c r="F338">
        <v>62.09</v>
      </c>
      <c r="G338" t="s">
        <v>195</v>
      </c>
      <c r="H338">
        <v>27.568000000000001</v>
      </c>
    </row>
    <row r="339" spans="1:8" x14ac:dyDescent="0.3">
      <c r="A339">
        <v>269</v>
      </c>
      <c r="B339" t="s">
        <v>473</v>
      </c>
      <c r="C339" t="s">
        <v>385</v>
      </c>
      <c r="D339" t="s">
        <v>120</v>
      </c>
      <c r="E339" t="s">
        <v>329</v>
      </c>
      <c r="F339">
        <v>80.989999999999995</v>
      </c>
      <c r="G339" t="s">
        <v>194</v>
      </c>
      <c r="H339">
        <v>35.959600000000002</v>
      </c>
    </row>
    <row r="340" spans="1:8" x14ac:dyDescent="0.3">
      <c r="A340">
        <v>268</v>
      </c>
      <c r="B340" t="s">
        <v>473</v>
      </c>
      <c r="C340" t="s">
        <v>385</v>
      </c>
      <c r="D340" t="s">
        <v>120</v>
      </c>
      <c r="E340" t="s">
        <v>329</v>
      </c>
      <c r="F340">
        <v>80.989999999999995</v>
      </c>
      <c r="G340" t="s">
        <v>191</v>
      </c>
      <c r="H340">
        <v>35.959600000000002</v>
      </c>
    </row>
    <row r="341" spans="1:8" x14ac:dyDescent="0.3">
      <c r="A341">
        <v>267</v>
      </c>
      <c r="B341" t="s">
        <v>474</v>
      </c>
      <c r="C341" t="s">
        <v>385</v>
      </c>
      <c r="D341" t="s">
        <v>120</v>
      </c>
      <c r="E341" t="s">
        <v>329</v>
      </c>
      <c r="F341">
        <v>364.09</v>
      </c>
      <c r="G341" t="s">
        <v>370</v>
      </c>
      <c r="H341">
        <v>199.37569999999999</v>
      </c>
    </row>
    <row r="342" spans="1:8" x14ac:dyDescent="0.3">
      <c r="A342">
        <v>266</v>
      </c>
      <c r="B342" t="s">
        <v>474</v>
      </c>
      <c r="C342" t="s">
        <v>385</v>
      </c>
      <c r="D342" t="s">
        <v>120</v>
      </c>
      <c r="E342" t="s">
        <v>329</v>
      </c>
      <c r="F342">
        <v>249.79</v>
      </c>
      <c r="G342" t="s">
        <v>460</v>
      </c>
      <c r="H342">
        <v>136.785</v>
      </c>
    </row>
    <row r="343" spans="1:8" x14ac:dyDescent="0.3">
      <c r="A343">
        <v>265</v>
      </c>
      <c r="B343" t="s">
        <v>475</v>
      </c>
      <c r="C343" t="s">
        <v>385</v>
      </c>
      <c r="D343" t="s">
        <v>120</v>
      </c>
      <c r="E343" t="s">
        <v>329</v>
      </c>
      <c r="F343">
        <v>264.05</v>
      </c>
      <c r="G343" t="s">
        <v>460</v>
      </c>
      <c r="H343">
        <v>144.59379999999999</v>
      </c>
    </row>
    <row r="344" spans="1:8" x14ac:dyDescent="0.3">
      <c r="A344">
        <v>264</v>
      </c>
      <c r="B344" t="s">
        <v>475</v>
      </c>
      <c r="C344" t="s">
        <v>385</v>
      </c>
      <c r="D344" t="s">
        <v>120</v>
      </c>
      <c r="E344" t="s">
        <v>329</v>
      </c>
      <c r="F344">
        <v>91.49</v>
      </c>
      <c r="G344" t="s">
        <v>185</v>
      </c>
      <c r="H344">
        <v>40.621600000000001</v>
      </c>
    </row>
    <row r="345" spans="1:8" x14ac:dyDescent="0.3">
      <c r="A345">
        <v>263</v>
      </c>
      <c r="B345" t="s">
        <v>476</v>
      </c>
      <c r="C345" t="s">
        <v>385</v>
      </c>
      <c r="D345" t="s">
        <v>120</v>
      </c>
      <c r="E345" t="s">
        <v>329</v>
      </c>
      <c r="F345">
        <v>46.09</v>
      </c>
      <c r="G345" t="s">
        <v>184</v>
      </c>
      <c r="H345">
        <v>20.463999999999999</v>
      </c>
    </row>
    <row r="346" spans="1:8" x14ac:dyDescent="0.3">
      <c r="A346">
        <v>262</v>
      </c>
      <c r="B346" t="s">
        <v>476</v>
      </c>
      <c r="C346" t="s">
        <v>385</v>
      </c>
      <c r="D346" t="s">
        <v>120</v>
      </c>
      <c r="E346" t="s">
        <v>329</v>
      </c>
      <c r="F346">
        <v>91.57</v>
      </c>
      <c r="G346" t="s">
        <v>182</v>
      </c>
      <c r="H346">
        <v>40.6571</v>
      </c>
    </row>
    <row r="347" spans="1:8" x14ac:dyDescent="0.3">
      <c r="A347">
        <v>261</v>
      </c>
      <c r="B347" t="s">
        <v>477</v>
      </c>
      <c r="C347" t="s">
        <v>111</v>
      </c>
      <c r="D347" t="s">
        <v>120</v>
      </c>
      <c r="E347" t="s">
        <v>329</v>
      </c>
      <c r="F347">
        <v>106.5</v>
      </c>
      <c r="G347" t="s">
        <v>180</v>
      </c>
      <c r="H347">
        <v>47.286000000000001</v>
      </c>
    </row>
    <row r="348" spans="1:8" x14ac:dyDescent="0.3">
      <c r="A348">
        <v>260</v>
      </c>
      <c r="B348" t="s">
        <v>477</v>
      </c>
      <c r="C348" t="s">
        <v>111</v>
      </c>
      <c r="D348" t="s">
        <v>120</v>
      </c>
      <c r="E348" t="s">
        <v>329</v>
      </c>
      <c r="F348">
        <v>175.49</v>
      </c>
      <c r="G348" t="s">
        <v>179</v>
      </c>
      <c r="H348">
        <v>77.917599999999993</v>
      </c>
    </row>
    <row r="349" spans="1:8" x14ac:dyDescent="0.3">
      <c r="A349">
        <v>259</v>
      </c>
      <c r="B349" t="s">
        <v>477</v>
      </c>
      <c r="C349" t="s">
        <v>111</v>
      </c>
      <c r="D349" t="s">
        <v>120</v>
      </c>
      <c r="E349" t="s">
        <v>329</v>
      </c>
      <c r="F349">
        <v>256.49</v>
      </c>
      <c r="G349" t="s">
        <v>178</v>
      </c>
      <c r="H349">
        <v>113.88160000000001</v>
      </c>
    </row>
    <row r="350" spans="1:8" x14ac:dyDescent="0.3">
      <c r="A350">
        <v>258</v>
      </c>
      <c r="B350" t="s">
        <v>478</v>
      </c>
      <c r="C350" t="s">
        <v>111</v>
      </c>
      <c r="D350" t="s">
        <v>120</v>
      </c>
      <c r="E350" t="s">
        <v>329</v>
      </c>
      <c r="F350">
        <v>404.99</v>
      </c>
      <c r="G350" t="s">
        <v>176</v>
      </c>
      <c r="H350">
        <v>179.81559999999999</v>
      </c>
    </row>
    <row r="351" spans="1:8" x14ac:dyDescent="0.3">
      <c r="A351">
        <v>257</v>
      </c>
      <c r="B351" t="s">
        <v>478</v>
      </c>
      <c r="C351" t="s">
        <v>111</v>
      </c>
      <c r="D351" t="s">
        <v>120</v>
      </c>
      <c r="E351" t="s">
        <v>329</v>
      </c>
      <c r="F351">
        <v>20.239999999999998</v>
      </c>
      <c r="G351" t="s">
        <v>174</v>
      </c>
      <c r="H351">
        <v>8.9865999999999993</v>
      </c>
    </row>
    <row r="352" spans="1:8" x14ac:dyDescent="0.3">
      <c r="A352">
        <v>256</v>
      </c>
      <c r="B352" t="s">
        <v>478</v>
      </c>
      <c r="C352" t="s">
        <v>111</v>
      </c>
      <c r="D352" t="s">
        <v>120</v>
      </c>
      <c r="E352" t="s">
        <v>329</v>
      </c>
      <c r="F352">
        <v>1214.8499999999999</v>
      </c>
      <c r="G352" t="s">
        <v>479</v>
      </c>
      <c r="H352">
        <v>755.1508</v>
      </c>
    </row>
    <row r="353" spans="1:8" x14ac:dyDescent="0.3">
      <c r="A353">
        <v>255</v>
      </c>
      <c r="B353" t="s">
        <v>480</v>
      </c>
      <c r="C353" t="s">
        <v>111</v>
      </c>
      <c r="D353" t="s">
        <v>120</v>
      </c>
      <c r="E353" t="s">
        <v>329</v>
      </c>
      <c r="F353">
        <v>2384.0700000000002</v>
      </c>
      <c r="G353" t="s">
        <v>481</v>
      </c>
      <c r="H353">
        <v>1481.9378999999999</v>
      </c>
    </row>
    <row r="354" spans="1:8" x14ac:dyDescent="0.3">
      <c r="A354">
        <v>254</v>
      </c>
      <c r="B354" t="s">
        <v>480</v>
      </c>
      <c r="C354" t="s">
        <v>111</v>
      </c>
      <c r="D354" t="s">
        <v>120</v>
      </c>
      <c r="E354" t="s">
        <v>329</v>
      </c>
      <c r="F354">
        <v>2384.0700000000002</v>
      </c>
      <c r="G354" t="s">
        <v>481</v>
      </c>
      <c r="H354">
        <v>1481.9378999999999</v>
      </c>
    </row>
    <row r="355" spans="1:8" x14ac:dyDescent="0.3">
      <c r="A355">
        <v>253</v>
      </c>
      <c r="B355" t="s">
        <v>480</v>
      </c>
      <c r="C355" t="s">
        <v>111</v>
      </c>
      <c r="D355" t="s">
        <v>120</v>
      </c>
      <c r="E355" t="s">
        <v>329</v>
      </c>
      <c r="F355">
        <v>2384.0700000000002</v>
      </c>
      <c r="G355" t="s">
        <v>481</v>
      </c>
      <c r="H355">
        <v>1481.9378999999999</v>
      </c>
    </row>
    <row r="356" spans="1:8" x14ac:dyDescent="0.3">
      <c r="A356">
        <v>252</v>
      </c>
      <c r="B356" t="s">
        <v>482</v>
      </c>
      <c r="C356" t="s">
        <v>385</v>
      </c>
      <c r="D356" t="s">
        <v>120</v>
      </c>
      <c r="E356" t="s">
        <v>329</v>
      </c>
      <c r="F356">
        <v>2384.0700000000002</v>
      </c>
      <c r="G356" t="s">
        <v>481</v>
      </c>
      <c r="H356">
        <v>1481.9378999999999</v>
      </c>
    </row>
    <row r="357" spans="1:8" x14ac:dyDescent="0.3">
      <c r="A357">
        <v>251</v>
      </c>
      <c r="B357" t="s">
        <v>482</v>
      </c>
      <c r="C357" t="s">
        <v>385</v>
      </c>
      <c r="D357" t="s">
        <v>120</v>
      </c>
      <c r="E357" t="s">
        <v>329</v>
      </c>
      <c r="F357">
        <v>742.35</v>
      </c>
      <c r="G357" t="s">
        <v>483</v>
      </c>
      <c r="H357">
        <v>461.44479999999999</v>
      </c>
    </row>
    <row r="358" spans="1:8" x14ac:dyDescent="0.3">
      <c r="A358">
        <v>250</v>
      </c>
      <c r="B358" t="s">
        <v>482</v>
      </c>
      <c r="C358" t="s">
        <v>385</v>
      </c>
      <c r="D358" t="s">
        <v>120</v>
      </c>
      <c r="E358" t="s">
        <v>329</v>
      </c>
      <c r="F358">
        <v>742.35</v>
      </c>
      <c r="G358" t="s">
        <v>483</v>
      </c>
      <c r="H358">
        <v>461.44479999999999</v>
      </c>
    </row>
    <row r="359" spans="1:8" x14ac:dyDescent="0.3">
      <c r="A359">
        <v>249</v>
      </c>
      <c r="B359" t="s">
        <v>484</v>
      </c>
      <c r="C359" t="s">
        <v>385</v>
      </c>
      <c r="D359" t="s">
        <v>120</v>
      </c>
      <c r="E359" t="s">
        <v>329</v>
      </c>
      <c r="F359">
        <v>742.35</v>
      </c>
      <c r="G359" t="s">
        <v>483</v>
      </c>
      <c r="H359">
        <v>461.44479999999999</v>
      </c>
    </row>
    <row r="360" spans="1:8" x14ac:dyDescent="0.3">
      <c r="A360">
        <v>248</v>
      </c>
      <c r="B360" t="s">
        <v>484</v>
      </c>
      <c r="C360" t="s">
        <v>385</v>
      </c>
      <c r="D360" t="s">
        <v>120</v>
      </c>
      <c r="E360" t="s">
        <v>329</v>
      </c>
      <c r="F360">
        <v>742.35</v>
      </c>
      <c r="G360" t="s">
        <v>483</v>
      </c>
      <c r="H360">
        <v>461.44479999999999</v>
      </c>
    </row>
    <row r="361" spans="1:8" x14ac:dyDescent="0.3">
      <c r="A361">
        <v>247</v>
      </c>
      <c r="B361" t="s">
        <v>484</v>
      </c>
      <c r="C361" t="s">
        <v>385</v>
      </c>
      <c r="D361" t="s">
        <v>120</v>
      </c>
      <c r="E361" t="s">
        <v>329</v>
      </c>
      <c r="F361">
        <v>742.35</v>
      </c>
      <c r="G361" t="s">
        <v>483</v>
      </c>
      <c r="H361">
        <v>461.44479999999999</v>
      </c>
    </row>
    <row r="362" spans="1:8" x14ac:dyDescent="0.3">
      <c r="A362">
        <v>246</v>
      </c>
      <c r="B362" t="s">
        <v>485</v>
      </c>
      <c r="C362" t="s">
        <v>385</v>
      </c>
      <c r="D362" t="s">
        <v>120</v>
      </c>
      <c r="E362" t="s">
        <v>329</v>
      </c>
      <c r="F362">
        <v>742.35</v>
      </c>
      <c r="G362" t="s">
        <v>483</v>
      </c>
      <c r="H362">
        <v>461.44479999999999</v>
      </c>
    </row>
    <row r="363" spans="1:8" x14ac:dyDescent="0.3">
      <c r="A363">
        <v>245</v>
      </c>
      <c r="B363" t="s">
        <v>485</v>
      </c>
      <c r="C363" t="s">
        <v>385</v>
      </c>
      <c r="D363" t="s">
        <v>120</v>
      </c>
      <c r="E363" t="s">
        <v>329</v>
      </c>
      <c r="F363">
        <v>742.35</v>
      </c>
      <c r="G363" t="s">
        <v>483</v>
      </c>
      <c r="H363">
        <v>461.44479999999999</v>
      </c>
    </row>
    <row r="364" spans="1:8" x14ac:dyDescent="0.3">
      <c r="A364">
        <v>244</v>
      </c>
      <c r="B364" t="s">
        <v>485</v>
      </c>
      <c r="C364" t="s">
        <v>385</v>
      </c>
      <c r="D364" t="s">
        <v>120</v>
      </c>
      <c r="E364" t="s">
        <v>329</v>
      </c>
      <c r="F364">
        <v>742.35</v>
      </c>
      <c r="G364" t="s">
        <v>483</v>
      </c>
      <c r="H364">
        <v>461.44479999999999</v>
      </c>
    </row>
    <row r="365" spans="1:8" x14ac:dyDescent="0.3">
      <c r="A365">
        <v>243</v>
      </c>
      <c r="B365" t="s">
        <v>486</v>
      </c>
      <c r="C365" t="s">
        <v>385</v>
      </c>
      <c r="D365" t="s">
        <v>120</v>
      </c>
      <c r="E365" t="s">
        <v>329</v>
      </c>
      <c r="F365">
        <v>2384.0700000000002</v>
      </c>
      <c r="G365" t="s">
        <v>481</v>
      </c>
      <c r="H365">
        <v>1481.9378999999999</v>
      </c>
    </row>
    <row r="366" spans="1:8" x14ac:dyDescent="0.3">
      <c r="A366">
        <v>242</v>
      </c>
      <c r="B366" t="s">
        <v>486</v>
      </c>
      <c r="C366" t="s">
        <v>385</v>
      </c>
      <c r="D366" t="s">
        <v>120</v>
      </c>
      <c r="E366" t="s">
        <v>329</v>
      </c>
      <c r="F366">
        <v>2384.0700000000002</v>
      </c>
      <c r="G366" t="s">
        <v>481</v>
      </c>
      <c r="H366">
        <v>1481.9378999999999</v>
      </c>
    </row>
    <row r="367" spans="1:8" x14ac:dyDescent="0.3">
      <c r="A367">
        <v>241</v>
      </c>
      <c r="B367" t="s">
        <v>486</v>
      </c>
      <c r="C367" t="s">
        <v>385</v>
      </c>
      <c r="D367" t="s">
        <v>120</v>
      </c>
      <c r="E367" t="s">
        <v>329</v>
      </c>
      <c r="F367">
        <v>2384.0700000000002</v>
      </c>
      <c r="G367" t="s">
        <v>481</v>
      </c>
      <c r="H367">
        <v>1481.9378999999999</v>
      </c>
    </row>
    <row r="368" spans="1:8" x14ac:dyDescent="0.3">
      <c r="A368">
        <v>240</v>
      </c>
      <c r="B368" t="s">
        <v>487</v>
      </c>
      <c r="C368" t="s">
        <v>385</v>
      </c>
      <c r="D368" t="s">
        <v>120</v>
      </c>
      <c r="E368" t="s">
        <v>329</v>
      </c>
      <c r="F368">
        <v>2384.0700000000002</v>
      </c>
      <c r="G368" t="s">
        <v>481</v>
      </c>
      <c r="H368">
        <v>1481.9378999999999</v>
      </c>
    </row>
    <row r="369" spans="1:8" x14ac:dyDescent="0.3">
      <c r="A369">
        <v>239</v>
      </c>
      <c r="B369" t="s">
        <v>487</v>
      </c>
      <c r="C369" t="s">
        <v>385</v>
      </c>
      <c r="D369" t="s">
        <v>120</v>
      </c>
      <c r="E369" t="s">
        <v>329</v>
      </c>
      <c r="F369">
        <v>1214.8499999999999</v>
      </c>
      <c r="G369" t="s">
        <v>479</v>
      </c>
      <c r="H369">
        <v>755.1508</v>
      </c>
    </row>
    <row r="370" spans="1:8" x14ac:dyDescent="0.3">
      <c r="A370">
        <v>238</v>
      </c>
      <c r="B370" t="s">
        <v>487</v>
      </c>
      <c r="C370" t="s">
        <v>385</v>
      </c>
      <c r="D370" t="s">
        <v>120</v>
      </c>
      <c r="E370" t="s">
        <v>329</v>
      </c>
      <c r="F370">
        <v>1214.8499999999999</v>
      </c>
      <c r="G370" t="s">
        <v>479</v>
      </c>
      <c r="H370">
        <v>755.1508</v>
      </c>
    </row>
    <row r="371" spans="1:8" x14ac:dyDescent="0.3">
      <c r="A371">
        <v>237</v>
      </c>
      <c r="B371" t="s">
        <v>488</v>
      </c>
      <c r="C371" t="s">
        <v>302</v>
      </c>
      <c r="D371" t="s">
        <v>260</v>
      </c>
      <c r="E371" t="s">
        <v>261</v>
      </c>
      <c r="F371">
        <v>1214.8499999999999</v>
      </c>
      <c r="G371" t="s">
        <v>479</v>
      </c>
      <c r="H371">
        <v>755.1508</v>
      </c>
    </row>
    <row r="372" spans="1:8" x14ac:dyDescent="0.3">
      <c r="A372">
        <v>236</v>
      </c>
      <c r="B372" t="s">
        <v>488</v>
      </c>
      <c r="C372" t="s">
        <v>302</v>
      </c>
      <c r="D372" t="s">
        <v>260</v>
      </c>
      <c r="E372" t="s">
        <v>261</v>
      </c>
      <c r="F372">
        <v>1700.99</v>
      </c>
      <c r="G372" t="s">
        <v>489</v>
      </c>
      <c r="H372">
        <v>1082.51</v>
      </c>
    </row>
    <row r="373" spans="1:8" x14ac:dyDescent="0.3">
      <c r="A373">
        <v>235</v>
      </c>
      <c r="B373" t="s">
        <v>488</v>
      </c>
      <c r="C373" t="s">
        <v>302</v>
      </c>
      <c r="D373" t="s">
        <v>260</v>
      </c>
      <c r="E373" t="s">
        <v>261</v>
      </c>
      <c r="F373">
        <v>1700.99</v>
      </c>
      <c r="G373" t="s">
        <v>489</v>
      </c>
      <c r="H373">
        <v>1082.51</v>
      </c>
    </row>
    <row r="374" spans="1:8" x14ac:dyDescent="0.3">
      <c r="A374">
        <v>234</v>
      </c>
      <c r="B374" t="s">
        <v>490</v>
      </c>
      <c r="C374" t="s">
        <v>302</v>
      </c>
      <c r="D374" t="s">
        <v>260</v>
      </c>
      <c r="E374" t="s">
        <v>261</v>
      </c>
      <c r="F374">
        <v>1700.99</v>
      </c>
      <c r="G374" t="s">
        <v>489</v>
      </c>
      <c r="H374">
        <v>1082.51</v>
      </c>
    </row>
    <row r="375" spans="1:8" x14ac:dyDescent="0.3">
      <c r="A375">
        <v>233</v>
      </c>
      <c r="B375" t="s">
        <v>490</v>
      </c>
      <c r="C375" t="s">
        <v>302</v>
      </c>
      <c r="D375" t="s">
        <v>260</v>
      </c>
      <c r="E375" t="s">
        <v>261</v>
      </c>
      <c r="F375">
        <v>1700.99</v>
      </c>
      <c r="G375" t="s">
        <v>489</v>
      </c>
      <c r="H375">
        <v>1082.51</v>
      </c>
    </row>
    <row r="376" spans="1:8" x14ac:dyDescent="0.3">
      <c r="A376">
        <v>232</v>
      </c>
      <c r="B376" t="s">
        <v>490</v>
      </c>
      <c r="C376" t="s">
        <v>302</v>
      </c>
      <c r="D376" t="s">
        <v>260</v>
      </c>
      <c r="E376" t="s">
        <v>261</v>
      </c>
      <c r="F376">
        <v>539.99</v>
      </c>
      <c r="G376" t="s">
        <v>491</v>
      </c>
      <c r="H376">
        <v>343.64960000000002</v>
      </c>
    </row>
    <row r="377" spans="1:8" x14ac:dyDescent="0.3">
      <c r="A377">
        <v>231</v>
      </c>
      <c r="B377" t="s">
        <v>492</v>
      </c>
      <c r="C377" t="s">
        <v>302</v>
      </c>
      <c r="D377" t="s">
        <v>260</v>
      </c>
      <c r="E377" t="s">
        <v>261</v>
      </c>
      <c r="F377">
        <v>742.35</v>
      </c>
      <c r="G377" t="s">
        <v>483</v>
      </c>
      <c r="H377">
        <v>461.44479999999999</v>
      </c>
    </row>
    <row r="378" spans="1:8" x14ac:dyDescent="0.3">
      <c r="A378">
        <v>230</v>
      </c>
      <c r="B378" t="s">
        <v>492</v>
      </c>
      <c r="C378" t="s">
        <v>302</v>
      </c>
      <c r="D378" t="s">
        <v>260</v>
      </c>
      <c r="E378" t="s">
        <v>261</v>
      </c>
      <c r="F378">
        <v>742.35</v>
      </c>
      <c r="G378" t="s">
        <v>483</v>
      </c>
      <c r="H378">
        <v>461.44479999999999</v>
      </c>
    </row>
    <row r="379" spans="1:8" x14ac:dyDescent="0.3">
      <c r="A379">
        <v>229</v>
      </c>
      <c r="B379" t="s">
        <v>492</v>
      </c>
      <c r="C379" t="s">
        <v>302</v>
      </c>
      <c r="D379" t="s">
        <v>260</v>
      </c>
      <c r="E379" t="s">
        <v>261</v>
      </c>
      <c r="F379">
        <v>769.49</v>
      </c>
      <c r="G379" t="s">
        <v>493</v>
      </c>
      <c r="H379">
        <v>419.77839999999998</v>
      </c>
    </row>
    <row r="380" spans="1:8" x14ac:dyDescent="0.3">
      <c r="A380">
        <v>228</v>
      </c>
      <c r="B380" t="s">
        <v>494</v>
      </c>
      <c r="C380" t="s">
        <v>302</v>
      </c>
      <c r="D380" t="s">
        <v>260</v>
      </c>
      <c r="E380" t="s">
        <v>261</v>
      </c>
      <c r="F380">
        <v>769.49</v>
      </c>
      <c r="G380" t="s">
        <v>493</v>
      </c>
      <c r="H380">
        <v>419.77839999999998</v>
      </c>
    </row>
    <row r="381" spans="1:8" x14ac:dyDescent="0.3">
      <c r="A381">
        <v>227</v>
      </c>
      <c r="B381" t="s">
        <v>494</v>
      </c>
      <c r="C381" t="s">
        <v>302</v>
      </c>
      <c r="D381" t="s">
        <v>260</v>
      </c>
      <c r="E381" t="s">
        <v>261</v>
      </c>
      <c r="F381">
        <v>769.49</v>
      </c>
      <c r="G381" t="s">
        <v>493</v>
      </c>
      <c r="H381">
        <v>419.77839999999998</v>
      </c>
    </row>
    <row r="382" spans="1:8" x14ac:dyDescent="0.3">
      <c r="A382">
        <v>226</v>
      </c>
      <c r="B382" t="s">
        <v>494</v>
      </c>
      <c r="C382" t="s">
        <v>302</v>
      </c>
      <c r="D382" t="s">
        <v>260</v>
      </c>
      <c r="E382" t="s">
        <v>261</v>
      </c>
      <c r="F382">
        <v>769.49</v>
      </c>
      <c r="G382" t="s">
        <v>493</v>
      </c>
      <c r="H382">
        <v>419.77839999999998</v>
      </c>
    </row>
    <row r="383" spans="1:8" x14ac:dyDescent="0.3">
      <c r="A383">
        <v>225</v>
      </c>
      <c r="B383" t="s">
        <v>495</v>
      </c>
      <c r="C383" t="s">
        <v>302</v>
      </c>
      <c r="D383" t="s">
        <v>260</v>
      </c>
      <c r="E383" t="s">
        <v>496</v>
      </c>
      <c r="F383">
        <v>564.99</v>
      </c>
      <c r="G383" t="s">
        <v>497</v>
      </c>
      <c r="H383">
        <v>308.21789999999999</v>
      </c>
    </row>
    <row r="384" spans="1:8" x14ac:dyDescent="0.3">
      <c r="A384">
        <v>224</v>
      </c>
      <c r="B384" t="s">
        <v>495</v>
      </c>
      <c r="C384" t="s">
        <v>302</v>
      </c>
      <c r="D384" t="s">
        <v>260</v>
      </c>
      <c r="E384" t="s">
        <v>496</v>
      </c>
      <c r="F384">
        <v>564.99</v>
      </c>
      <c r="G384" t="s">
        <v>497</v>
      </c>
      <c r="H384">
        <v>308.21789999999999</v>
      </c>
    </row>
    <row r="385" spans="1:8" x14ac:dyDescent="0.3">
      <c r="A385">
        <v>223</v>
      </c>
      <c r="B385" t="s">
        <v>495</v>
      </c>
      <c r="C385" t="s">
        <v>302</v>
      </c>
      <c r="D385" t="s">
        <v>260</v>
      </c>
      <c r="E385" t="s">
        <v>496</v>
      </c>
      <c r="F385">
        <v>564.99</v>
      </c>
      <c r="G385" t="s">
        <v>497</v>
      </c>
      <c r="H385">
        <v>308.21789999999999</v>
      </c>
    </row>
    <row r="386" spans="1:8" x14ac:dyDescent="0.3">
      <c r="A386">
        <v>222</v>
      </c>
      <c r="B386" t="s">
        <v>498</v>
      </c>
      <c r="C386" t="s">
        <v>144</v>
      </c>
      <c r="D386" t="s">
        <v>202</v>
      </c>
      <c r="E386" t="s">
        <v>499</v>
      </c>
      <c r="F386">
        <v>564.99</v>
      </c>
      <c r="G386" t="s">
        <v>497</v>
      </c>
      <c r="H386">
        <v>308.21789999999999</v>
      </c>
    </row>
    <row r="387" spans="1:8" x14ac:dyDescent="0.3">
      <c r="A387">
        <v>221</v>
      </c>
      <c r="B387" t="s">
        <v>498</v>
      </c>
      <c r="C387" t="s">
        <v>144</v>
      </c>
      <c r="D387" t="s">
        <v>202</v>
      </c>
      <c r="E387" t="s">
        <v>499</v>
      </c>
      <c r="F387">
        <v>564.99</v>
      </c>
      <c r="G387" t="s">
        <v>497</v>
      </c>
      <c r="H387">
        <v>308.21789999999999</v>
      </c>
    </row>
    <row r="388" spans="1:8" x14ac:dyDescent="0.3">
      <c r="A388">
        <v>220</v>
      </c>
      <c r="B388" t="s">
        <v>498</v>
      </c>
      <c r="C388" t="s">
        <v>144</v>
      </c>
      <c r="D388" t="s">
        <v>202</v>
      </c>
      <c r="E388" t="s">
        <v>499</v>
      </c>
      <c r="F388">
        <v>539.99</v>
      </c>
      <c r="G388" t="s">
        <v>497</v>
      </c>
      <c r="H388">
        <v>294.5797</v>
      </c>
    </row>
    <row r="389" spans="1:8" x14ac:dyDescent="0.3">
      <c r="A389">
        <v>219</v>
      </c>
      <c r="B389" t="s">
        <v>500</v>
      </c>
      <c r="C389" t="s">
        <v>276</v>
      </c>
      <c r="D389" t="s">
        <v>260</v>
      </c>
      <c r="E389" t="s">
        <v>277</v>
      </c>
      <c r="F389">
        <v>539.99</v>
      </c>
      <c r="G389" t="s">
        <v>497</v>
      </c>
      <c r="H389">
        <v>294.5797</v>
      </c>
    </row>
    <row r="390" spans="1:8" x14ac:dyDescent="0.3">
      <c r="A390">
        <v>218</v>
      </c>
      <c r="B390" t="s">
        <v>501</v>
      </c>
      <c r="C390" t="s">
        <v>276</v>
      </c>
      <c r="D390" t="s">
        <v>260</v>
      </c>
      <c r="E390" t="s">
        <v>277</v>
      </c>
      <c r="F390">
        <v>539.99</v>
      </c>
      <c r="G390" t="s">
        <v>497</v>
      </c>
      <c r="H390">
        <v>294.5797</v>
      </c>
    </row>
    <row r="391" spans="1:8" x14ac:dyDescent="0.3">
      <c r="A391">
        <v>217</v>
      </c>
      <c r="B391" t="s">
        <v>502</v>
      </c>
      <c r="C391" t="s">
        <v>111</v>
      </c>
      <c r="D391" t="s">
        <v>202</v>
      </c>
      <c r="E391" t="s">
        <v>499</v>
      </c>
      <c r="F391">
        <v>539.99</v>
      </c>
      <c r="G391" t="s">
        <v>497</v>
      </c>
      <c r="H391">
        <v>294.5797</v>
      </c>
    </row>
    <row r="392" spans="1:8" x14ac:dyDescent="0.3">
      <c r="A392">
        <v>216</v>
      </c>
      <c r="B392" t="s">
        <v>502</v>
      </c>
      <c r="C392" t="s">
        <v>111</v>
      </c>
      <c r="D392" t="s">
        <v>202</v>
      </c>
      <c r="E392" t="s">
        <v>499</v>
      </c>
      <c r="F392">
        <v>539.99</v>
      </c>
      <c r="G392" t="s">
        <v>497</v>
      </c>
      <c r="H392">
        <v>294.5797</v>
      </c>
    </row>
    <row r="393" spans="1:8" x14ac:dyDescent="0.3">
      <c r="A393">
        <v>215</v>
      </c>
      <c r="B393" t="s">
        <v>502</v>
      </c>
      <c r="C393" t="s">
        <v>111</v>
      </c>
      <c r="D393" t="s">
        <v>202</v>
      </c>
      <c r="E393" t="s">
        <v>499</v>
      </c>
      <c r="F393">
        <v>53.99</v>
      </c>
      <c r="G393" t="s">
        <v>123</v>
      </c>
      <c r="H393">
        <v>23.971599999999999</v>
      </c>
    </row>
    <row r="394" spans="1:8" x14ac:dyDescent="0.3">
      <c r="A394">
        <v>214</v>
      </c>
      <c r="B394" t="s">
        <v>503</v>
      </c>
      <c r="C394" t="s">
        <v>385</v>
      </c>
      <c r="D394" t="s">
        <v>202</v>
      </c>
      <c r="E394" t="s">
        <v>499</v>
      </c>
      <c r="F394">
        <v>101.24</v>
      </c>
      <c r="G394" t="s">
        <v>122</v>
      </c>
      <c r="H394">
        <v>44.950600000000001</v>
      </c>
    </row>
    <row r="395" spans="1:8" x14ac:dyDescent="0.3">
      <c r="A395">
        <v>213</v>
      </c>
      <c r="B395" t="s">
        <v>503</v>
      </c>
      <c r="C395" t="s">
        <v>385</v>
      </c>
      <c r="D395" t="s">
        <v>202</v>
      </c>
      <c r="E395" t="s">
        <v>499</v>
      </c>
      <c r="F395">
        <v>121.49</v>
      </c>
      <c r="G395" t="s">
        <v>118</v>
      </c>
      <c r="H395">
        <v>53.941600000000001</v>
      </c>
    </row>
    <row r="396" spans="1:8" x14ac:dyDescent="0.3">
      <c r="A396">
        <v>212</v>
      </c>
      <c r="B396" t="s">
        <v>503</v>
      </c>
      <c r="C396" t="s">
        <v>385</v>
      </c>
      <c r="D396" t="s">
        <v>202</v>
      </c>
      <c r="E396" t="s">
        <v>499</v>
      </c>
      <c r="F396">
        <v>539.99</v>
      </c>
      <c r="G396" t="s">
        <v>491</v>
      </c>
      <c r="H396">
        <v>343.64960000000002</v>
      </c>
    </row>
    <row r="397" spans="1:8" x14ac:dyDescent="0.3">
      <c r="A397">
        <v>211</v>
      </c>
      <c r="B397" t="s">
        <v>504</v>
      </c>
      <c r="C397" t="s">
        <v>385</v>
      </c>
      <c r="D397" t="s">
        <v>120</v>
      </c>
      <c r="E397" t="s">
        <v>329</v>
      </c>
      <c r="F397">
        <v>539.99</v>
      </c>
      <c r="G397" t="s">
        <v>491</v>
      </c>
      <c r="H397">
        <v>343.64960000000002</v>
      </c>
    </row>
    <row r="398" spans="1:8" x14ac:dyDescent="0.3">
      <c r="A398">
        <v>210</v>
      </c>
      <c r="B398" t="s">
        <v>505</v>
      </c>
      <c r="C398" t="s">
        <v>111</v>
      </c>
      <c r="D398" t="s">
        <v>120</v>
      </c>
      <c r="E398" t="s">
        <v>329</v>
      </c>
      <c r="F398">
        <v>539.99</v>
      </c>
      <c r="G398" t="s">
        <v>491</v>
      </c>
      <c r="H398">
        <v>343.64960000000002</v>
      </c>
    </row>
  </sheetData>
  <phoneticPr fontId="6" type="noConversion"/>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C532-E6F5-4CE5-B083-3F821F2AB072}">
  <dimension ref="O11:P30"/>
  <sheetViews>
    <sheetView tabSelected="1" zoomScaleNormal="100" workbookViewId="0">
      <selection activeCell="S22" sqref="S22"/>
    </sheetView>
  </sheetViews>
  <sheetFormatPr defaultRowHeight="14.4" x14ac:dyDescent="0.3"/>
  <cols>
    <col min="1" max="1" width="16.21875" bestFit="1" customWidth="1"/>
    <col min="2" max="2" width="17" bestFit="1" customWidth="1"/>
    <col min="12" max="12" width="10.44140625" customWidth="1"/>
    <col min="14" max="14" width="10.44140625" customWidth="1"/>
    <col min="15" max="15" width="16.88671875" bestFit="1" customWidth="1"/>
    <col min="16" max="16" width="14" bestFit="1" customWidth="1"/>
  </cols>
  <sheetData>
    <row r="11" spans="15:16" x14ac:dyDescent="0.3">
      <c r="O11" s="31" t="s">
        <v>84</v>
      </c>
      <c r="P11" t="s">
        <v>518</v>
      </c>
    </row>
    <row r="12" spans="15:16" x14ac:dyDescent="0.3">
      <c r="O12" s="32" t="s">
        <v>30</v>
      </c>
      <c r="P12">
        <v>3689</v>
      </c>
    </row>
    <row r="13" spans="15:16" x14ac:dyDescent="0.3">
      <c r="O13" s="32" t="s">
        <v>36</v>
      </c>
      <c r="P13">
        <v>4396</v>
      </c>
    </row>
    <row r="14" spans="15:16" x14ac:dyDescent="0.3">
      <c r="O14" s="32" t="s">
        <v>34</v>
      </c>
      <c r="P14">
        <v>6699</v>
      </c>
    </row>
    <row r="15" spans="15:16" x14ac:dyDescent="0.3">
      <c r="O15" s="32" t="s">
        <v>12</v>
      </c>
      <c r="P15">
        <v>4396</v>
      </c>
    </row>
    <row r="16" spans="15:16" x14ac:dyDescent="0.3">
      <c r="O16" s="32" t="s">
        <v>58</v>
      </c>
      <c r="P16">
        <v>8799</v>
      </c>
    </row>
    <row r="17" spans="15:16" x14ac:dyDescent="0.3">
      <c r="O17" s="32" t="s">
        <v>55</v>
      </c>
      <c r="P17">
        <v>5285</v>
      </c>
    </row>
    <row r="18" spans="15:16" x14ac:dyDescent="0.3">
      <c r="O18" s="32" t="s">
        <v>35</v>
      </c>
      <c r="P18">
        <v>7735</v>
      </c>
    </row>
    <row r="19" spans="15:16" x14ac:dyDescent="0.3">
      <c r="O19" s="32" t="s">
        <v>56</v>
      </c>
      <c r="P19">
        <v>1715</v>
      </c>
    </row>
    <row r="20" spans="15:16" x14ac:dyDescent="0.3">
      <c r="O20" s="32" t="s">
        <v>9</v>
      </c>
      <c r="P20">
        <v>2975</v>
      </c>
    </row>
    <row r="21" spans="15:16" x14ac:dyDescent="0.3">
      <c r="O21" s="32" t="s">
        <v>31</v>
      </c>
      <c r="P21">
        <v>3906</v>
      </c>
    </row>
    <row r="22" spans="15:16" x14ac:dyDescent="0.3">
      <c r="O22" s="32" t="s">
        <v>10</v>
      </c>
      <c r="P22">
        <v>2275</v>
      </c>
    </row>
    <row r="23" spans="15:16" x14ac:dyDescent="0.3">
      <c r="O23" s="32" t="s">
        <v>57</v>
      </c>
      <c r="P23">
        <v>3171</v>
      </c>
    </row>
    <row r="24" spans="15:16" x14ac:dyDescent="0.3">
      <c r="O24" s="32" t="s">
        <v>8</v>
      </c>
      <c r="P24">
        <v>245</v>
      </c>
    </row>
    <row r="25" spans="15:16" x14ac:dyDescent="0.3">
      <c r="O25" s="32" t="s">
        <v>59</v>
      </c>
      <c r="P25">
        <v>5964</v>
      </c>
    </row>
    <row r="26" spans="15:16" x14ac:dyDescent="0.3">
      <c r="O26" s="32" t="s">
        <v>6</v>
      </c>
      <c r="P26">
        <v>6706</v>
      </c>
    </row>
    <row r="27" spans="15:16" x14ac:dyDescent="0.3">
      <c r="O27" s="32" t="s">
        <v>7</v>
      </c>
      <c r="P27">
        <v>3395</v>
      </c>
    </row>
    <row r="28" spans="15:16" x14ac:dyDescent="0.3">
      <c r="O28" s="32" t="s">
        <v>11</v>
      </c>
      <c r="P28">
        <v>1596</v>
      </c>
    </row>
    <row r="29" spans="15:16" x14ac:dyDescent="0.3">
      <c r="O29" s="32" t="s">
        <v>517</v>
      </c>
    </row>
    <row r="30" spans="15:16" x14ac:dyDescent="0.3">
      <c r="O30" s="32" t="s">
        <v>85</v>
      </c>
      <c r="P30">
        <v>72947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67A547-2506-4B17-B113-0E235C7E3D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1</vt:lpstr>
      <vt:lpstr>pivot</vt:lpstr>
      <vt:lpstr>Sample Data</vt:lpstr>
      <vt:lpstr>Products</vt:lpstr>
      <vt:lpstr>Header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Srivastav</dc:creator>
  <cp:lastModifiedBy>Shubham Srivastav</cp:lastModifiedBy>
  <cp:lastPrinted>2023-10-10T05:15:52Z</cp:lastPrinted>
  <dcterms:created xsi:type="dcterms:W3CDTF">2023-10-04T05:57:39Z</dcterms:created>
  <dcterms:modified xsi:type="dcterms:W3CDTF">2025-10-24T15:50:25Z</dcterms:modified>
</cp:coreProperties>
</file>